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5"/>
    <sheet state="visible" name="FEBRERO" sheetId="2" r:id="rId6"/>
    <sheet state="visible" name="MARZO" sheetId="3" r:id="rId7"/>
    <sheet state="visible" name="ABRIL" sheetId="4" r:id="rId8"/>
    <sheet state="visible" name="MAYO" sheetId="5" r:id="rId9"/>
    <sheet state="visible" name="JUNIO" sheetId="6" r:id="rId10"/>
    <sheet state="visible" name="JULIO" sheetId="7" r:id="rId11"/>
    <sheet state="visible" name="AGOSTO" sheetId="8" r:id="rId12"/>
    <sheet state="visible" name="SEPTIEMBRE" sheetId="9" r:id="rId13"/>
    <sheet state="visible" name="OCTUBRE" sheetId="10" r:id="rId14"/>
    <sheet state="visible" name="NOVIEMBRE" sheetId="11" r:id="rId15"/>
    <sheet state="visible" name="DICIEMBRE" sheetId="12" r:id="rId16"/>
  </sheets>
  <definedNames/>
  <calcPr/>
</workbook>
</file>

<file path=xl/sharedStrings.xml><?xml version="1.0" encoding="utf-8"?>
<sst xmlns="http://schemas.openxmlformats.org/spreadsheetml/2006/main" count="1122" uniqueCount="270">
  <si>
    <t>EGRESOS</t>
  </si>
  <si>
    <t>INGRESOS</t>
  </si>
  <si>
    <t>FINCA VITALI</t>
  </si>
  <si>
    <t>CIELO ROSA</t>
  </si>
  <si>
    <t>AQUA</t>
  </si>
  <si>
    <t>Fecha</t>
  </si>
  <si>
    <t>Descripción</t>
  </si>
  <si>
    <t>Pagado por</t>
  </si>
  <si>
    <t>Monto</t>
  </si>
  <si>
    <t>Fechas</t>
  </si>
  <si>
    <t>Huéspedes</t>
  </si>
  <si>
    <t>Medio de Ingreso</t>
  </si>
  <si>
    <t>Cuenta Acreditada</t>
  </si>
  <si>
    <t>Evento</t>
  </si>
  <si>
    <t>Desinfectante / AMPM</t>
  </si>
  <si>
    <t>Pablo</t>
  </si>
  <si>
    <t>Jennifer</t>
  </si>
  <si>
    <t>Airbnb</t>
  </si>
  <si>
    <t>BAC 947230587</t>
  </si>
  <si>
    <t>Luis</t>
  </si>
  <si>
    <t>SINPE Pago Yami</t>
  </si>
  <si>
    <t>Ariana</t>
  </si>
  <si>
    <t>Daniel</t>
  </si>
  <si>
    <t>SINPE Pago Gabo</t>
  </si>
  <si>
    <t>Bianca</t>
  </si>
  <si>
    <t>Humberto</t>
  </si>
  <si>
    <t>SINPE Gas</t>
  </si>
  <si>
    <t>Daniela</t>
  </si>
  <si>
    <t>Mario</t>
  </si>
  <si>
    <t>SINPE Chapeada</t>
  </si>
  <si>
    <t>Hillary</t>
  </si>
  <si>
    <t>Alejandro</t>
  </si>
  <si>
    <t>Productos de Limpieza / PRICE SMART</t>
  </si>
  <si>
    <t>Jefferson</t>
  </si>
  <si>
    <t>Kalila</t>
  </si>
  <si>
    <t>Luz / JASEC</t>
  </si>
  <si>
    <t>Maria</t>
  </si>
  <si>
    <t>Natalia</t>
  </si>
  <si>
    <t>Melanie</t>
  </si>
  <si>
    <t>Luis David</t>
  </si>
  <si>
    <t>Servicios Municipales</t>
  </si>
  <si>
    <t>Kyle</t>
  </si>
  <si>
    <t>Marcia</t>
  </si>
  <si>
    <t>Ale</t>
  </si>
  <si>
    <t>Impuestos Muni</t>
  </si>
  <si>
    <t>Bolsas Basura / AMPM</t>
  </si>
  <si>
    <t>Starlink / Internet</t>
  </si>
  <si>
    <t>BAC / Cargos Transf Inter</t>
  </si>
  <si>
    <t>TOTAL:</t>
  </si>
  <si>
    <t>INGRESOS TOTALES:</t>
  </si>
  <si>
    <t>TOTAL FINAL</t>
  </si>
  <si>
    <t>Felipe</t>
  </si>
  <si>
    <t>Rodrigo</t>
  </si>
  <si>
    <t>Audrey</t>
  </si>
  <si>
    <t>Maylon</t>
  </si>
  <si>
    <t>SINPE pago Gabo</t>
  </si>
  <si>
    <t>Luz / JASEC domos</t>
  </si>
  <si>
    <t>Marvin</t>
  </si>
  <si>
    <t>Dayanna</t>
  </si>
  <si>
    <t>Luz / JASEC pozo</t>
  </si>
  <si>
    <t>Michelle</t>
  </si>
  <si>
    <t>Karen</t>
  </si>
  <si>
    <t>Carlos</t>
  </si>
  <si>
    <t>Jairo</t>
  </si>
  <si>
    <t>Baterias VINDI</t>
  </si>
  <si>
    <t>Nicole</t>
  </si>
  <si>
    <t>Sofia</t>
  </si>
  <si>
    <t>Meylin</t>
  </si>
  <si>
    <t>Calentador Agua / ThermoSolutions</t>
  </si>
  <si>
    <t>Jose</t>
  </si>
  <si>
    <t>SINPE Limpieza Galeron / Jordan y Mau</t>
  </si>
  <si>
    <t>Jessica</t>
  </si>
  <si>
    <t>Paula</t>
  </si>
  <si>
    <t>Luz / JASEC cabaña</t>
  </si>
  <si>
    <t>Samara</t>
  </si>
  <si>
    <t>SINPE / JardineriaTio Juan</t>
  </si>
  <si>
    <t>Erick</t>
  </si>
  <si>
    <t>AMPM COVAO Cartago</t>
  </si>
  <si>
    <t>Thibaud</t>
  </si>
  <si>
    <t>Reichell</t>
  </si>
  <si>
    <t>Marlyn</t>
  </si>
  <si>
    <t>Stephanie</t>
  </si>
  <si>
    <t>Steven</t>
  </si>
  <si>
    <t>Kevin</t>
  </si>
  <si>
    <t>Tiffany</t>
  </si>
  <si>
    <t>Marcelo</t>
  </si>
  <si>
    <t>Yali</t>
  </si>
  <si>
    <t>MAXIPALI OREAMUNO Cartago</t>
  </si>
  <si>
    <t>Marjurin</t>
  </si>
  <si>
    <t>EL COLONO OREAMUNO Cartago</t>
  </si>
  <si>
    <t>Celeste</t>
  </si>
  <si>
    <t>Rickie</t>
  </si>
  <si>
    <t>SINPE / Limpieza Yami</t>
  </si>
  <si>
    <t>Agua / Muni Cartago</t>
  </si>
  <si>
    <t>SINPE / Limpieza Basura</t>
  </si>
  <si>
    <t>ADOBE</t>
  </si>
  <si>
    <t>Tapon PVC tubo / LAS GRAVILIAS</t>
  </si>
  <si>
    <t>Ane</t>
  </si>
  <si>
    <t>Danny</t>
  </si>
  <si>
    <t>Jannik</t>
  </si>
  <si>
    <t>GLOVAL VIA / PEAJE</t>
  </si>
  <si>
    <t>Joshua</t>
  </si>
  <si>
    <t>PRODUCTOS LIMPIEZA / PRICESMART</t>
  </si>
  <si>
    <t>Olivier</t>
  </si>
  <si>
    <t>Jorge</t>
  </si>
  <si>
    <t>Alexa</t>
  </si>
  <si>
    <t>Andrea</t>
  </si>
  <si>
    <t>Maria Jose</t>
  </si>
  <si>
    <t>Mariela</t>
  </si>
  <si>
    <t>Valeria</t>
  </si>
  <si>
    <t>Verena</t>
  </si>
  <si>
    <t>Albin</t>
  </si>
  <si>
    <t>Insecticida y bomba de fumigar</t>
  </si>
  <si>
    <t>Jesibel</t>
  </si>
  <si>
    <t xml:space="preserve">Julia </t>
  </si>
  <si>
    <t>Tamara</t>
  </si>
  <si>
    <t>Ayún</t>
  </si>
  <si>
    <t>SINPE / Limpieza Domos Yami</t>
  </si>
  <si>
    <t>Diego</t>
  </si>
  <si>
    <t>SINPE / Limpieza Cabaña Yami</t>
  </si>
  <si>
    <t>SINPE/ Chapeada Finca</t>
  </si>
  <si>
    <t>Vinos Bodego Española</t>
  </si>
  <si>
    <t>Ferreteria Asegrupo</t>
  </si>
  <si>
    <t>SINPE / Esteban Constru</t>
  </si>
  <si>
    <t>₡30,000</t>
  </si>
  <si>
    <t xml:space="preserve">    </t>
  </si>
  <si>
    <t xml:space="preserve"> </t>
  </si>
  <si>
    <t>JUGUITOS / PRICESMART</t>
  </si>
  <si>
    <t>Luz / Medidor Cabaña</t>
  </si>
  <si>
    <t>Luz / Medidor Domos</t>
  </si>
  <si>
    <t>Luz / Medidor Pozo</t>
  </si>
  <si>
    <t>Agua Vitali</t>
  </si>
  <si>
    <t>Pali</t>
  </si>
  <si>
    <t>Quebrador Ochomo / piedra caminos jardin</t>
  </si>
  <si>
    <t>Deposito de maderas</t>
  </si>
  <si>
    <t>Ampm</t>
  </si>
  <si>
    <t>Pricesmart</t>
  </si>
  <si>
    <t>Starlink</t>
  </si>
  <si>
    <t>SINPE / LIMPIEZA / YAMI</t>
  </si>
  <si>
    <t>STARLINK</t>
  </si>
  <si>
    <t>MEIDOR LUZ CABAÑA</t>
  </si>
  <si>
    <t>MEIDOR LUZ DOMOS</t>
  </si>
  <si>
    <t>MEIDOR LUZ POZO</t>
  </si>
  <si>
    <t xml:space="preserve">SINPE YAMI LIMPIEZA </t>
  </si>
  <si>
    <t>AGUA VITALI</t>
  </si>
  <si>
    <t>MAXIPALI / PRODUCTOS LIMPIEZA</t>
  </si>
  <si>
    <t>CHAPEADA</t>
  </si>
  <si>
    <t>PEQUEÑO MUNDO</t>
  </si>
  <si>
    <t>COLONO / MATERIALES</t>
  </si>
  <si>
    <t>NOVEX</t>
  </si>
  <si>
    <t>PRICE SMART CARTAGO</t>
  </si>
  <si>
    <t>MAXIPALI OREAMUNO</t>
  </si>
  <si>
    <t>STARLINK INTERNEYT</t>
  </si>
  <si>
    <t>JASEC CABAÑA</t>
  </si>
  <si>
    <t>JASEC DOMOS</t>
  </si>
  <si>
    <t>JASEC POZO</t>
  </si>
  <si>
    <t>LIMPIEZA SINPE YAMI</t>
  </si>
  <si>
    <t>AGUA FINCA VITALI</t>
  </si>
  <si>
    <t>JARDINERIA SINPE JUAN</t>
  </si>
  <si>
    <t>FOTO Y VIDEO ALEX</t>
  </si>
  <si>
    <t>IMPUESTO VALOR AGREGADO (IVA)</t>
  </si>
  <si>
    <t>MANTENIMIENTO MAX</t>
  </si>
  <si>
    <t>PRICESMART</t>
  </si>
  <si>
    <t>AMPM</t>
  </si>
  <si>
    <t>FRESH MARKET</t>
  </si>
  <si>
    <t>MAXIPALI</t>
  </si>
  <si>
    <t>SEVICENTRO CARTAGO</t>
  </si>
  <si>
    <t>SINPE LIMPIEZA YAMI</t>
  </si>
  <si>
    <t xml:space="preserve">SINPE CHAPEADA </t>
  </si>
  <si>
    <t>AGUA MUNICIPALIDAD</t>
  </si>
  <si>
    <t>ELECTRICIDAD POZO</t>
  </si>
  <si>
    <t>ELECTRICIDAD DOMOS</t>
  </si>
  <si>
    <t>ELECTRICIDAD LAVANDERIA</t>
  </si>
  <si>
    <t>SERVICIOS PUBLICIDAD ALEX</t>
  </si>
  <si>
    <t>AGUA MUNICIPALIDA</t>
  </si>
  <si>
    <t>SINPE IVANIA | LIMPIEZA</t>
  </si>
  <si>
    <t>EL REY</t>
  </si>
  <si>
    <t>IVA</t>
  </si>
  <si>
    <t>RENTA</t>
  </si>
  <si>
    <t>PUBLI REDES | TRANSFERENCIA ALEX</t>
  </si>
  <si>
    <t>SINPE GREIVIN | RECARGAS GAS</t>
  </si>
  <si>
    <t>SINPE KENNETH | MANTENIMIENTO</t>
  </si>
  <si>
    <t>SUPERMERCADO</t>
  </si>
  <si>
    <t>REPUESTOS CARRO</t>
  </si>
  <si>
    <t>CONTABILIDAD</t>
  </si>
  <si>
    <t>PINTURAS SUR</t>
  </si>
  <si>
    <t>MATERIALE COLONO</t>
  </si>
  <si>
    <t>PRIMESTAY</t>
  </si>
  <si>
    <t>GASOLINA</t>
  </si>
  <si>
    <t>ALMACEN MATERIALES SANNICOLAS</t>
  </si>
  <si>
    <t>PIEDRA | QUEBRADOR OCHOMOGO</t>
  </si>
  <si>
    <t>CACHERA DUCHA | KTH INFINITE</t>
  </si>
  <si>
    <t>FARMACIA FISHEL</t>
  </si>
  <si>
    <t>ALIMENTACION PIKEOS</t>
  </si>
  <si>
    <t>ALIMENTACION MOSAICO</t>
  </si>
  <si>
    <t>DECORACION PLANTAS</t>
  </si>
  <si>
    <t>MATERIALE EL LAGAR</t>
  </si>
  <si>
    <t>GIMNASIO</t>
  </si>
  <si>
    <t>MATERIALE EL COLONO</t>
  </si>
  <si>
    <t>FERRETERIA HOLCIM</t>
  </si>
  <si>
    <t>LUBRICENTRO</t>
  </si>
  <si>
    <t>FARMACIA HOSP METRO</t>
  </si>
  <si>
    <t>ALIMENTACION MOCAPAN</t>
  </si>
  <si>
    <t>VESTIMENTA</t>
  </si>
  <si>
    <t>ALINEADO Y TRAMADO CARRO</t>
  </si>
  <si>
    <t>SINPE MAX | JARDINERIA</t>
  </si>
  <si>
    <t>SINPE MAX | MANTENIMIENTO</t>
  </si>
  <si>
    <t>SINPE KENETH | MANTENIMIENTO</t>
  </si>
  <si>
    <t>TRASFER AGUA MUNI CARTAGO</t>
  </si>
  <si>
    <t>ELECTRICIDAD JASEC POZO</t>
  </si>
  <si>
    <t>SINPE MICHAEL | MANTENIMIENTO</t>
  </si>
  <si>
    <t>SINPE GABRIEL | MANT  ELECT</t>
  </si>
  <si>
    <t>SINPE ALEX | PAUTA REDES SOC</t>
  </si>
  <si>
    <t>SINPE ANDRES | MANTENIMIENTO</t>
  </si>
  <si>
    <t>Declaracion de Impuestos</t>
  </si>
  <si>
    <t>Factura Electrónica</t>
  </si>
  <si>
    <t>Supermercado</t>
  </si>
  <si>
    <t>ExtremTeck (Oficina-Administración)</t>
  </si>
  <si>
    <t>Intelec (Oficina-Administracion)</t>
  </si>
  <si>
    <t>(Alimentación)</t>
  </si>
  <si>
    <t>Autoservicio TSO (repuesto carro)</t>
  </si>
  <si>
    <t>Quebrador Ochomogo (piedra para jardin)</t>
  </si>
  <si>
    <t>Gasolina</t>
  </si>
  <si>
    <t>Alimentación</t>
  </si>
  <si>
    <t>Pequeño Mundo (Artículos para Domos)</t>
  </si>
  <si>
    <t>Barbería</t>
  </si>
  <si>
    <t>Colono (materiales)</t>
  </si>
  <si>
    <t>Gimnasio</t>
  </si>
  <si>
    <t>Starlink (internet)</t>
  </si>
  <si>
    <t>Adobe</t>
  </si>
  <si>
    <t>Transferencia Bancaria</t>
  </si>
  <si>
    <t>Tarjeta sin Factura Electrónica</t>
  </si>
  <si>
    <t>Transporte de Materiales</t>
  </si>
  <si>
    <t>SINPE Kenneth (Mantenimiento)</t>
  </si>
  <si>
    <t>SINPE Nancy (Chapea)</t>
  </si>
  <si>
    <t>SINPE Greivin (Recargas de Gas)</t>
  </si>
  <si>
    <t>Electricidad JASEC (Lavandería)</t>
  </si>
  <si>
    <t>Electricidad JASEC (Domos)</t>
  </si>
  <si>
    <t>Electricida JASEC (Pozo)</t>
  </si>
  <si>
    <t>Agua (Municipalida)</t>
  </si>
  <si>
    <t>SINPE Isa (viáticos)</t>
  </si>
  <si>
    <t>SINPE Ivannia (Limpieza)</t>
  </si>
  <si>
    <t>SINPE Kimberly (Arreglo Llanta)</t>
  </si>
  <si>
    <t>SINPE Jonathan (Mnatenimiento)</t>
  </si>
  <si>
    <t>SINPE William (Mantenimiento)</t>
  </si>
  <si>
    <t>SINPE Max (Jardinería)</t>
  </si>
  <si>
    <t>Alimentación | Mosaico</t>
  </si>
  <si>
    <t>HiperMascotas</t>
  </si>
  <si>
    <t>Wallmart</t>
  </si>
  <si>
    <t>El Rey</t>
  </si>
  <si>
    <t>Pequeño Mundo</t>
  </si>
  <si>
    <t>Ferretería Epa</t>
  </si>
  <si>
    <t>Declaración de Impuestos</t>
  </si>
  <si>
    <t>Uniforme | Zara</t>
  </si>
  <si>
    <t>Alimentación | Hikari</t>
  </si>
  <si>
    <t>Farmacia</t>
  </si>
  <si>
    <t>Decoración | Páramo</t>
  </si>
  <si>
    <t>Alimentación | BK</t>
  </si>
  <si>
    <t>Almacen Casalfe</t>
  </si>
  <si>
    <t>Marchamo | INS</t>
  </si>
  <si>
    <t>SINPE | Mantenimiento Max</t>
  </si>
  <si>
    <t>SINPE | Limpieza Ivania</t>
  </si>
  <si>
    <t>Agua Municipalidad</t>
  </si>
  <si>
    <t>Luz Lavandería</t>
  </si>
  <si>
    <t>Luz Domos</t>
  </si>
  <si>
    <t>Luz Pozo</t>
  </si>
  <si>
    <t>SINPE | Recarga de Gas Greivin</t>
  </si>
  <si>
    <t>SINPE | Chapea Nancy</t>
  </si>
  <si>
    <t>SINPE | Limpieza Yami</t>
  </si>
  <si>
    <t>Startlink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</si>
</sst>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[$₡]#,##0"/>
    <numFmt numFmtId="166" formatCode="d/M/yyyy"/>
    <numFmt numFmtId="167" formatCode="&quot;$&quot;#,##0"/>
  </numFmts>
  <fonts count="12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rgb="FF434343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color rgb="FFFFFFFF"/>
      <name val="Arial"/>
    </font>
    <font>
      <sz val="9.0"/>
      <color theme="1"/>
      <name val="Arial"/>
      <scheme val="minor"/>
    </font>
    <font>
      <sz val="6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274E13"/>
        <bgColor rgb="FF274E13"/>
      </patternFill>
    </fill>
    <fill>
      <patternFill patternType="solid">
        <fgColor rgb="FFF4CCCC"/>
        <bgColor rgb="FFF4CCCC"/>
      </patternFill>
    </fill>
    <fill>
      <patternFill patternType="solid">
        <fgColor rgb="FF76A5AF"/>
        <bgColor rgb="FF76A5A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</fills>
  <borders count="13">
    <border/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</border>
    <border>
      <top style="thin">
        <color rgb="FF666666"/>
      </top>
    </border>
    <border>
      <right style="thin">
        <color rgb="FF666666"/>
      </right>
      <top style="thin">
        <color rgb="FF666666"/>
      </top>
    </border>
    <border>
      <left style="thin">
        <color rgb="FF666666"/>
      </left>
    </border>
    <border>
      <right style="thin">
        <color rgb="FF666666"/>
      </righ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4" fillId="4" fontId="3" numFmtId="0" xfId="0" applyAlignment="1" applyBorder="1" applyFill="1" applyFont="1">
      <alignment horizontal="center" readingOrder="0"/>
    </xf>
    <xf borderId="4" fillId="5" fontId="1" numFmtId="0" xfId="0" applyAlignment="1" applyBorder="1" applyFill="1" applyFont="1">
      <alignment horizontal="center" readingOrder="0"/>
    </xf>
    <xf borderId="7" fillId="3" fontId="4" numFmtId="0" xfId="0" applyAlignment="1" applyBorder="1" applyFont="1">
      <alignment horizontal="center" readingOrder="0"/>
    </xf>
    <xf borderId="0" fillId="3" fontId="4" numFmtId="0" xfId="0" applyAlignment="1" applyFont="1">
      <alignment horizontal="center" readingOrder="0"/>
    </xf>
    <xf borderId="8" fillId="3" fontId="1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7" fillId="4" fontId="6" numFmtId="0" xfId="0" applyAlignment="1" applyBorder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4" fontId="6" numFmtId="0" xfId="0" applyAlignment="1" applyFont="1">
      <alignment horizontal="center" readingOrder="0"/>
    </xf>
    <xf borderId="8" fillId="4" fontId="7" numFmtId="0" xfId="0" applyAlignment="1" applyBorder="1" applyFont="1">
      <alignment horizontal="center" readingOrder="0"/>
    </xf>
    <xf borderId="7" fillId="5" fontId="4" numFmtId="0" xfId="0" applyAlignment="1" applyBorder="1" applyFont="1">
      <alignment horizontal="center" readingOrder="0"/>
    </xf>
    <xf borderId="0" fillId="5" fontId="4" numFmtId="0" xfId="0" applyAlignment="1" applyFont="1">
      <alignment horizontal="center" readingOrder="0"/>
    </xf>
    <xf borderId="8" fillId="5" fontId="1" numFmtId="0" xfId="0" applyAlignment="1" applyBorder="1" applyFont="1">
      <alignment horizontal="center" readingOrder="0"/>
    </xf>
    <xf borderId="7" fillId="6" fontId="5" numFmtId="164" xfId="0" applyAlignment="1" applyBorder="1" applyFill="1" applyFont="1" applyNumberFormat="1">
      <alignment horizontal="center" readingOrder="0"/>
    </xf>
    <xf borderId="0" fillId="6" fontId="5" numFmtId="0" xfId="0" applyAlignment="1" applyFont="1">
      <alignment horizontal="center" readingOrder="0"/>
    </xf>
    <xf borderId="8" fillId="7" fontId="5" numFmtId="165" xfId="0" applyAlignment="1" applyBorder="1" applyFill="1" applyFont="1" applyNumberFormat="1">
      <alignment horizontal="center" readingOrder="0"/>
    </xf>
    <xf borderId="7" fillId="6" fontId="5" numFmtId="166" xfId="0" applyAlignment="1" applyBorder="1" applyFont="1" applyNumberFormat="1">
      <alignment horizontal="center"/>
    </xf>
    <xf borderId="0" fillId="6" fontId="5" numFmtId="0" xfId="0" applyAlignment="1" applyFont="1">
      <alignment horizontal="center"/>
    </xf>
    <xf borderId="8" fillId="7" fontId="5" numFmtId="165" xfId="0" applyAlignment="1" applyBorder="1" applyFont="1" applyNumberFormat="1">
      <alignment horizontal="center"/>
    </xf>
    <xf borderId="7" fillId="7" fontId="5" numFmtId="164" xfId="0" applyAlignment="1" applyBorder="1" applyFont="1" applyNumberFormat="1">
      <alignment horizontal="center" readingOrder="0"/>
    </xf>
    <xf borderId="0" fillId="7" fontId="5" numFmtId="0" xfId="0" applyAlignment="1" applyFont="1">
      <alignment horizontal="center" readingOrder="0"/>
    </xf>
    <xf borderId="8" fillId="8" fontId="5" numFmtId="165" xfId="0" applyAlignment="1" applyBorder="1" applyFill="1" applyFont="1" applyNumberFormat="1">
      <alignment horizontal="center" readingOrder="0"/>
    </xf>
    <xf borderId="7" fillId="7" fontId="5" numFmtId="166" xfId="0" applyAlignment="1" applyBorder="1" applyFont="1" applyNumberFormat="1">
      <alignment horizontal="center"/>
    </xf>
    <xf borderId="0" fillId="7" fontId="5" numFmtId="0" xfId="0" applyAlignment="1" applyFont="1">
      <alignment horizontal="center"/>
    </xf>
    <xf borderId="8" fillId="8" fontId="5" numFmtId="165" xfId="0" applyAlignment="1" applyBorder="1" applyFont="1" applyNumberFormat="1">
      <alignment horizontal="center"/>
    </xf>
    <xf borderId="7" fillId="7" fontId="5" numFmtId="166" xfId="0" applyAlignment="1" applyBorder="1" applyFont="1" applyNumberFormat="1">
      <alignment horizontal="center" readingOrder="0"/>
    </xf>
    <xf borderId="7" fillId="9" fontId="5" numFmtId="164" xfId="0" applyAlignment="1" applyBorder="1" applyFill="1" applyFont="1" applyNumberFormat="1">
      <alignment horizontal="center" readingOrder="0"/>
    </xf>
    <xf borderId="0" fillId="9" fontId="5" numFmtId="0" xfId="0" applyAlignment="1" applyFont="1">
      <alignment horizontal="center" readingOrder="0"/>
    </xf>
    <xf borderId="8" fillId="0" fontId="2" numFmtId="0" xfId="0" applyBorder="1" applyFont="1"/>
    <xf borderId="7" fillId="6" fontId="5" numFmtId="166" xfId="0" applyAlignment="1" applyBorder="1" applyFont="1" applyNumberFormat="1">
      <alignment horizontal="center" readingOrder="0"/>
    </xf>
    <xf borderId="2" fillId="3" fontId="1" numFmtId="0" xfId="0" applyAlignment="1" applyBorder="1" applyFont="1">
      <alignment horizontal="right" readingOrder="0"/>
    </xf>
    <xf borderId="9" fillId="7" fontId="7" numFmtId="165" xfId="0" applyAlignment="1" applyBorder="1" applyFont="1" applyNumberFormat="1">
      <alignment horizontal="center"/>
    </xf>
    <xf borderId="1" fillId="4" fontId="3" numFmtId="0" xfId="0" applyAlignment="1" applyBorder="1" applyFont="1">
      <alignment horizontal="right" readingOrder="0"/>
    </xf>
    <xf borderId="2" fillId="4" fontId="6" numFmtId="0" xfId="0" applyAlignment="1" applyBorder="1" applyFont="1">
      <alignment horizontal="center"/>
    </xf>
    <xf borderId="2" fillId="4" fontId="3" numFmtId="0" xfId="0" applyAlignment="1" applyBorder="1" applyFont="1">
      <alignment horizontal="right" readingOrder="0"/>
    </xf>
    <xf borderId="9" fillId="7" fontId="8" numFmtId="165" xfId="0" applyAlignment="1" applyBorder="1" applyFont="1" applyNumberFormat="1">
      <alignment horizontal="center"/>
    </xf>
    <xf borderId="1" fillId="5" fontId="7" numFmtId="0" xfId="0" applyAlignment="1" applyBorder="1" applyFont="1">
      <alignment horizontal="right" readingOrder="0"/>
    </xf>
    <xf borderId="2" fillId="5" fontId="5" numFmtId="0" xfId="0" applyAlignment="1" applyBorder="1" applyFont="1">
      <alignment horizontal="center"/>
    </xf>
    <xf borderId="2" fillId="5" fontId="1" numFmtId="0" xfId="0" applyAlignment="1" applyBorder="1" applyFont="1">
      <alignment horizontal="right" readingOrder="0"/>
    </xf>
    <xf borderId="1" fillId="3" fontId="7" numFmtId="0" xfId="0" applyAlignment="1" applyBorder="1" applyFont="1">
      <alignment horizontal="right" readingOrder="0"/>
    </xf>
    <xf borderId="2" fillId="3" fontId="5" numFmtId="0" xfId="0" applyAlignment="1" applyBorder="1" applyFont="1">
      <alignment horizontal="center"/>
    </xf>
    <xf borderId="0" fillId="2" fontId="1" numFmtId="0" xfId="0" applyAlignment="1" applyFont="1">
      <alignment horizontal="right" readingOrder="0"/>
    </xf>
    <xf borderId="9" fillId="10" fontId="1" numFmtId="165" xfId="0" applyAlignment="1" applyBorder="1" applyFill="1" applyFont="1" applyNumberFormat="1">
      <alignment horizontal="center"/>
    </xf>
    <xf borderId="10" fillId="11" fontId="1" numFmtId="0" xfId="0" applyAlignment="1" applyBorder="1" applyFill="1" applyFont="1">
      <alignment readingOrder="0"/>
    </xf>
    <xf borderId="10" fillId="7" fontId="5" numFmtId="165" xfId="0" applyAlignment="1" applyBorder="1" applyFont="1" applyNumberFormat="1">
      <alignment horizontal="center"/>
    </xf>
    <xf borderId="11" fillId="11" fontId="1" numFmtId="0" xfId="0" applyAlignment="1" applyBorder="1" applyFont="1">
      <alignment readingOrder="0"/>
    </xf>
    <xf borderId="11" fillId="7" fontId="5" numFmtId="165" xfId="0" applyAlignment="1" applyBorder="1" applyFont="1" applyNumberFormat="1">
      <alignment horizontal="center"/>
    </xf>
    <xf borderId="12" fillId="2" fontId="1" numFmtId="0" xfId="0" applyAlignment="1" applyBorder="1" applyFont="1">
      <alignment readingOrder="0"/>
    </xf>
    <xf borderId="8" fillId="8" fontId="5" numFmtId="0" xfId="0" applyAlignment="1" applyBorder="1" applyFont="1">
      <alignment horizontal="center"/>
    </xf>
    <xf borderId="8" fillId="7" fontId="5" numFmtId="0" xfId="0" applyAlignment="1" applyBorder="1" applyFont="1">
      <alignment horizontal="center"/>
    </xf>
    <xf borderId="7" fillId="7" fontId="5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horizontal="center"/>
    </xf>
    <xf borderId="0" fillId="0" fontId="8" numFmtId="165" xfId="0" applyAlignment="1" applyFont="1" applyNumberFormat="1">
      <alignment horizontal="center"/>
    </xf>
    <xf borderId="0" fillId="0" fontId="7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9" numFmtId="0" xfId="0" applyAlignment="1" applyFont="1">
      <alignment horizontal="right" vertical="bottom"/>
    </xf>
    <xf borderId="0" fillId="0" fontId="9" numFmtId="165" xfId="0" applyAlignment="1" applyFont="1" applyNumberFormat="1">
      <alignment horizontal="center" vertical="bottom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12" fillId="10" fontId="1" numFmtId="165" xfId="0" applyAlignment="1" applyBorder="1" applyFont="1" applyNumberFormat="1">
      <alignment horizontal="center"/>
    </xf>
    <xf borderId="0" fillId="0" fontId="7" numFmtId="165" xfId="0" applyAlignment="1" applyFont="1" applyNumberFormat="1">
      <alignment horizontal="center"/>
    </xf>
    <xf borderId="0" fillId="0" fontId="11" numFmtId="0" xfId="0" applyFont="1"/>
    <xf borderId="0" fillId="0" fontId="7" numFmtId="0" xfId="0" applyAlignment="1" applyFont="1">
      <alignment readingOrder="0"/>
    </xf>
    <xf borderId="0" fillId="0" fontId="5" numFmtId="0" xfId="0" applyFont="1"/>
    <xf borderId="0" fillId="0" fontId="5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34</xdr:row>
      <xdr:rowOff>0</xdr:rowOff>
    </xdr:from>
    <xdr:ext cx="361950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51</xdr:row>
      <xdr:rowOff>0</xdr:rowOff>
    </xdr:from>
    <xdr:ext cx="419100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64</xdr:row>
      <xdr:rowOff>0</xdr:rowOff>
    </xdr:from>
    <xdr:ext cx="79057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32.63"/>
    <col customWidth="1" min="4" max="4" width="14.5"/>
    <col customWidth="1" min="5" max="5" width="11.25"/>
    <col customWidth="1" min="6" max="6" width="3.75"/>
    <col customWidth="1" min="7" max="7" width="15.0"/>
    <col customWidth="1" min="8" max="8" width="16.88"/>
    <col customWidth="1" min="9" max="9" width="20.0"/>
    <col customWidth="1" min="10" max="10" width="17.63"/>
    <col customWidth="1" min="13" max="13" width="18.25"/>
    <col customWidth="1" min="14" max="14" width="21.13"/>
    <col customWidth="1" min="15" max="15" width="17.88"/>
    <col customWidth="1" min="18" max="18" width="14.5"/>
    <col customWidth="1" min="19" max="19" width="17.63"/>
    <col customWidth="1" min="20" max="20" width="18.13"/>
  </cols>
  <sheetData>
    <row r="2">
      <c r="B2" s="1" t="s">
        <v>0</v>
      </c>
      <c r="C2" s="2"/>
      <c r="D2" s="2"/>
      <c r="E2" s="3"/>
      <c r="G2" s="1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>
      <c r="B3" s="4" t="s">
        <v>2</v>
      </c>
      <c r="C3" s="5"/>
      <c r="D3" s="5"/>
      <c r="E3" s="6"/>
      <c r="G3" s="7" t="s">
        <v>3</v>
      </c>
      <c r="H3" s="5"/>
      <c r="I3" s="5"/>
      <c r="J3" s="5"/>
      <c r="K3" s="6"/>
      <c r="L3" s="8" t="s">
        <v>4</v>
      </c>
      <c r="M3" s="5"/>
      <c r="N3" s="5"/>
      <c r="O3" s="5"/>
      <c r="P3" s="6"/>
      <c r="Q3" s="4" t="s">
        <v>2</v>
      </c>
      <c r="R3" s="5"/>
      <c r="S3" s="5"/>
      <c r="T3" s="5"/>
      <c r="U3" s="6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2"/>
      <c r="G4" s="13" t="s">
        <v>9</v>
      </c>
      <c r="H4" s="14" t="s">
        <v>10</v>
      </c>
      <c r="I4" s="15" t="s">
        <v>11</v>
      </c>
      <c r="J4" s="14" t="s">
        <v>12</v>
      </c>
      <c r="K4" s="16" t="s">
        <v>8</v>
      </c>
      <c r="L4" s="17" t="s">
        <v>9</v>
      </c>
      <c r="M4" s="18" t="s">
        <v>10</v>
      </c>
      <c r="N4" s="18" t="s">
        <v>11</v>
      </c>
      <c r="O4" s="18" t="s">
        <v>12</v>
      </c>
      <c r="P4" s="19" t="s">
        <v>8</v>
      </c>
      <c r="Q4" s="9" t="s">
        <v>9</v>
      </c>
      <c r="R4" s="10" t="s">
        <v>13</v>
      </c>
      <c r="S4" s="10" t="s">
        <v>11</v>
      </c>
      <c r="T4" s="10" t="s">
        <v>12</v>
      </c>
      <c r="U4" s="11" t="s">
        <v>8</v>
      </c>
    </row>
    <row r="5">
      <c r="B5" s="20">
        <v>45659.0</v>
      </c>
      <c r="C5" s="21" t="s">
        <v>14</v>
      </c>
      <c r="D5" s="21" t="s">
        <v>15</v>
      </c>
      <c r="E5" s="22">
        <v>1295.0</v>
      </c>
      <c r="F5" s="12"/>
      <c r="G5" s="20">
        <v>45660.0</v>
      </c>
      <c r="H5" s="21" t="s">
        <v>16</v>
      </c>
      <c r="I5" s="21" t="s">
        <v>17</v>
      </c>
      <c r="J5" s="21" t="s">
        <v>18</v>
      </c>
      <c r="K5" s="22">
        <v>67627.0</v>
      </c>
      <c r="L5" s="20">
        <v>45659.0</v>
      </c>
      <c r="M5" s="21" t="s">
        <v>19</v>
      </c>
      <c r="N5" s="21" t="s">
        <v>17</v>
      </c>
      <c r="O5" s="21" t="s">
        <v>18</v>
      </c>
      <c r="P5" s="22">
        <v>72459.34</v>
      </c>
      <c r="Q5" s="23"/>
      <c r="R5" s="24"/>
      <c r="S5" s="24"/>
      <c r="T5" s="24"/>
      <c r="U5" s="25"/>
    </row>
    <row r="6">
      <c r="B6" s="26">
        <v>45660.0</v>
      </c>
      <c r="C6" s="27" t="s">
        <v>20</v>
      </c>
      <c r="D6" s="27" t="s">
        <v>15</v>
      </c>
      <c r="E6" s="28">
        <v>30000.0</v>
      </c>
      <c r="F6" s="12"/>
      <c r="G6" s="26">
        <v>45661.0</v>
      </c>
      <c r="H6" s="27" t="s">
        <v>21</v>
      </c>
      <c r="I6" s="27" t="s">
        <v>17</v>
      </c>
      <c r="J6" s="27" t="s">
        <v>18</v>
      </c>
      <c r="K6" s="28">
        <v>67627.0</v>
      </c>
      <c r="L6" s="26">
        <v>45660.0</v>
      </c>
      <c r="M6" s="27" t="s">
        <v>22</v>
      </c>
      <c r="N6" s="27" t="s">
        <v>17</v>
      </c>
      <c r="O6" s="27" t="s">
        <v>18</v>
      </c>
      <c r="P6" s="28">
        <v>77287.0</v>
      </c>
      <c r="Q6" s="29"/>
      <c r="R6" s="30"/>
      <c r="S6" s="30"/>
      <c r="T6" s="30"/>
      <c r="U6" s="31"/>
    </row>
    <row r="7">
      <c r="B7" s="20">
        <v>45660.0</v>
      </c>
      <c r="C7" s="21" t="s">
        <v>23</v>
      </c>
      <c r="D7" s="21" t="s">
        <v>15</v>
      </c>
      <c r="E7" s="22">
        <v>20000.0</v>
      </c>
      <c r="F7" s="12"/>
      <c r="G7" s="20">
        <v>45662.0</v>
      </c>
      <c r="H7" s="21" t="s">
        <v>24</v>
      </c>
      <c r="I7" s="21" t="s">
        <v>17</v>
      </c>
      <c r="J7" s="21" t="s">
        <v>18</v>
      </c>
      <c r="K7" s="22">
        <v>57968.0</v>
      </c>
      <c r="L7" s="20">
        <v>45661.0</v>
      </c>
      <c r="M7" s="21" t="s">
        <v>25</v>
      </c>
      <c r="N7" s="21" t="s">
        <v>17</v>
      </c>
      <c r="O7" s="21" t="s">
        <v>18</v>
      </c>
      <c r="P7" s="22">
        <v>77288.0</v>
      </c>
      <c r="Q7" s="23"/>
      <c r="R7" s="24"/>
      <c r="S7" s="24"/>
      <c r="T7" s="24"/>
      <c r="U7" s="25"/>
    </row>
    <row r="8">
      <c r="B8" s="32">
        <v>45663.0</v>
      </c>
      <c r="C8" s="27" t="s">
        <v>26</v>
      </c>
      <c r="D8" s="27" t="s">
        <v>15</v>
      </c>
      <c r="E8" s="28">
        <v>16000.0</v>
      </c>
      <c r="F8" s="12"/>
      <c r="G8" s="26">
        <v>45674.0</v>
      </c>
      <c r="H8" s="27" t="s">
        <v>27</v>
      </c>
      <c r="I8" s="27" t="s">
        <v>17</v>
      </c>
      <c r="J8" s="27" t="s">
        <v>18</v>
      </c>
      <c r="K8" s="28">
        <v>67627.0</v>
      </c>
      <c r="L8" s="26">
        <v>45662.0</v>
      </c>
      <c r="M8" s="27" t="s">
        <v>28</v>
      </c>
      <c r="N8" s="27" t="s">
        <v>17</v>
      </c>
      <c r="O8" s="27" t="s">
        <v>18</v>
      </c>
      <c r="P8" s="28">
        <v>67625.0</v>
      </c>
      <c r="Q8" s="29"/>
      <c r="R8" s="30"/>
      <c r="S8" s="30"/>
      <c r="T8" s="30"/>
      <c r="U8" s="31"/>
    </row>
    <row r="9">
      <c r="B9" s="20">
        <v>45665.0</v>
      </c>
      <c r="C9" s="21" t="s">
        <v>29</v>
      </c>
      <c r="D9" s="21" t="s">
        <v>15</v>
      </c>
      <c r="E9" s="22">
        <v>90000.0</v>
      </c>
      <c r="F9" s="12"/>
      <c r="G9" s="20">
        <v>45675.0</v>
      </c>
      <c r="H9" s="21" t="s">
        <v>30</v>
      </c>
      <c r="I9" s="21" t="s">
        <v>17</v>
      </c>
      <c r="J9" s="21" t="s">
        <v>18</v>
      </c>
      <c r="K9" s="22">
        <v>57968.0</v>
      </c>
      <c r="L9" s="20">
        <v>45675.0</v>
      </c>
      <c r="M9" s="21" t="s">
        <v>31</v>
      </c>
      <c r="N9" s="21" t="s">
        <v>17</v>
      </c>
      <c r="O9" s="21" t="s">
        <v>18</v>
      </c>
      <c r="P9" s="22">
        <v>77288.0</v>
      </c>
      <c r="Q9" s="23"/>
      <c r="R9" s="24"/>
      <c r="S9" s="24"/>
      <c r="T9" s="24"/>
      <c r="U9" s="25"/>
    </row>
    <row r="10">
      <c r="B10" s="26">
        <v>45665.0</v>
      </c>
      <c r="C10" s="27" t="s">
        <v>32</v>
      </c>
      <c r="D10" s="27" t="s">
        <v>15</v>
      </c>
      <c r="E10" s="28">
        <v>65465.0</v>
      </c>
      <c r="F10" s="12"/>
      <c r="G10" s="26">
        <v>45676.0</v>
      </c>
      <c r="H10" s="27" t="s">
        <v>33</v>
      </c>
      <c r="I10" s="27" t="s">
        <v>17</v>
      </c>
      <c r="J10" s="27" t="s">
        <v>18</v>
      </c>
      <c r="K10" s="28">
        <v>57966.0</v>
      </c>
      <c r="L10" s="26">
        <v>45681.0</v>
      </c>
      <c r="M10" s="27" t="s">
        <v>34</v>
      </c>
      <c r="N10" s="27" t="s">
        <v>17</v>
      </c>
      <c r="O10" s="27" t="s">
        <v>18</v>
      </c>
      <c r="P10" s="28">
        <v>77288.0</v>
      </c>
      <c r="Q10" s="29"/>
      <c r="R10" s="30"/>
      <c r="S10" s="30"/>
      <c r="T10" s="30"/>
      <c r="U10" s="31"/>
    </row>
    <row r="11">
      <c r="B11" s="20">
        <v>45665.0</v>
      </c>
      <c r="C11" s="21" t="s">
        <v>35</v>
      </c>
      <c r="D11" s="21" t="s">
        <v>15</v>
      </c>
      <c r="E11" s="22">
        <v>23626.0</v>
      </c>
      <c r="F11" s="12"/>
      <c r="G11" s="20">
        <v>45681.0</v>
      </c>
      <c r="H11" s="21" t="s">
        <v>36</v>
      </c>
      <c r="I11" s="21" t="s">
        <v>17</v>
      </c>
      <c r="J11" s="21" t="s">
        <v>18</v>
      </c>
      <c r="K11" s="22">
        <v>67629.0</v>
      </c>
      <c r="L11" s="20">
        <v>45683.0</v>
      </c>
      <c r="M11" s="21" t="s">
        <v>37</v>
      </c>
      <c r="N11" s="21" t="s">
        <v>17</v>
      </c>
      <c r="O11" s="21" t="s">
        <v>18</v>
      </c>
      <c r="P11" s="22">
        <v>72459.34</v>
      </c>
      <c r="Q11" s="23"/>
      <c r="R11" s="24"/>
      <c r="S11" s="24"/>
      <c r="T11" s="24"/>
      <c r="U11" s="25"/>
    </row>
    <row r="12">
      <c r="B12" s="26">
        <v>45665.0</v>
      </c>
      <c r="C12" s="27" t="s">
        <v>20</v>
      </c>
      <c r="D12" s="27" t="s">
        <v>15</v>
      </c>
      <c r="E12" s="28">
        <v>40000.0</v>
      </c>
      <c r="F12" s="12"/>
      <c r="G12" s="26">
        <v>45682.0</v>
      </c>
      <c r="H12" s="27" t="s">
        <v>38</v>
      </c>
      <c r="I12" s="27" t="s">
        <v>17</v>
      </c>
      <c r="J12" s="27" t="s">
        <v>18</v>
      </c>
      <c r="K12" s="28">
        <v>67627.0</v>
      </c>
      <c r="L12" s="26">
        <v>45687.0</v>
      </c>
      <c r="M12" s="27" t="s">
        <v>39</v>
      </c>
      <c r="N12" s="27" t="s">
        <v>17</v>
      </c>
      <c r="O12" s="27" t="s">
        <v>18</v>
      </c>
      <c r="P12" s="28">
        <v>144917.0</v>
      </c>
      <c r="Q12" s="29"/>
      <c r="R12" s="30"/>
      <c r="S12" s="30"/>
      <c r="T12" s="30"/>
      <c r="U12" s="31"/>
    </row>
    <row r="13">
      <c r="B13" s="33">
        <v>45673.0</v>
      </c>
      <c r="C13" s="34" t="s">
        <v>40</v>
      </c>
      <c r="D13" s="34" t="s">
        <v>15</v>
      </c>
      <c r="E13" s="22">
        <v>98602.0</v>
      </c>
      <c r="F13" s="12"/>
      <c r="G13" s="20">
        <v>45683.0</v>
      </c>
      <c r="H13" s="21" t="s">
        <v>41</v>
      </c>
      <c r="I13" s="21" t="s">
        <v>17</v>
      </c>
      <c r="J13" s="21" t="s">
        <v>18</v>
      </c>
      <c r="K13" s="22">
        <v>57968.0</v>
      </c>
      <c r="L13" s="20">
        <v>45688.0</v>
      </c>
      <c r="M13" s="21" t="s">
        <v>39</v>
      </c>
      <c r="N13" s="21" t="s">
        <v>17</v>
      </c>
      <c r="O13" s="21" t="s">
        <v>18</v>
      </c>
      <c r="P13" s="35"/>
      <c r="Q13" s="23"/>
      <c r="R13" s="24"/>
      <c r="S13" s="24"/>
      <c r="T13" s="24"/>
      <c r="U13" s="25"/>
    </row>
    <row r="14">
      <c r="B14" s="26">
        <v>45674.0</v>
      </c>
      <c r="C14" s="27" t="s">
        <v>20</v>
      </c>
      <c r="D14" s="27" t="s">
        <v>15</v>
      </c>
      <c r="E14" s="28">
        <v>15000.0</v>
      </c>
      <c r="G14" s="26">
        <v>45687.0</v>
      </c>
      <c r="H14" s="27" t="s">
        <v>42</v>
      </c>
      <c r="I14" s="27" t="s">
        <v>17</v>
      </c>
      <c r="J14" s="27" t="s">
        <v>18</v>
      </c>
      <c r="K14" s="28">
        <v>57963.0</v>
      </c>
      <c r="L14" s="29"/>
      <c r="M14" s="30"/>
      <c r="N14" s="30"/>
      <c r="O14" s="27"/>
      <c r="P14" s="31"/>
      <c r="Q14" s="29"/>
      <c r="R14" s="30"/>
      <c r="S14" s="30"/>
      <c r="T14" s="30"/>
      <c r="U14" s="31"/>
    </row>
    <row r="15">
      <c r="B15" s="36">
        <v>45674.0</v>
      </c>
      <c r="C15" s="21" t="s">
        <v>20</v>
      </c>
      <c r="D15" s="21" t="s">
        <v>15</v>
      </c>
      <c r="E15" s="22">
        <v>45000.0</v>
      </c>
      <c r="G15" s="20"/>
      <c r="H15" s="24"/>
      <c r="I15" s="21"/>
      <c r="J15" s="24"/>
      <c r="K15" s="25"/>
      <c r="L15" s="23"/>
      <c r="M15" s="24"/>
      <c r="N15" s="24"/>
      <c r="O15" s="24"/>
      <c r="P15" s="25"/>
      <c r="Q15" s="23"/>
      <c r="R15" s="24"/>
      <c r="S15" s="24"/>
      <c r="T15" s="24"/>
      <c r="U15" s="25"/>
    </row>
    <row r="16">
      <c r="B16" s="32">
        <v>45677.0</v>
      </c>
      <c r="C16" s="27" t="s">
        <v>26</v>
      </c>
      <c r="D16" s="27" t="s">
        <v>43</v>
      </c>
      <c r="E16" s="28">
        <v>16000.0</v>
      </c>
      <c r="G16" s="26"/>
      <c r="H16" s="30"/>
      <c r="I16" s="30"/>
      <c r="J16" s="30"/>
      <c r="K16" s="31"/>
      <c r="L16" s="29"/>
      <c r="M16" s="30"/>
      <c r="N16" s="30"/>
      <c r="O16" s="30"/>
      <c r="P16" s="31"/>
      <c r="Q16" s="29"/>
      <c r="R16" s="30"/>
      <c r="S16" s="30"/>
      <c r="T16" s="30"/>
      <c r="U16" s="31"/>
    </row>
    <row r="17">
      <c r="B17" s="36">
        <v>45682.0</v>
      </c>
      <c r="C17" s="21" t="s">
        <v>44</v>
      </c>
      <c r="D17" s="21" t="s">
        <v>15</v>
      </c>
      <c r="E17" s="22">
        <v>230201.0</v>
      </c>
      <c r="G17" s="20"/>
      <c r="H17" s="24"/>
      <c r="I17" s="24"/>
      <c r="J17" s="24"/>
      <c r="K17" s="25"/>
      <c r="L17" s="23"/>
      <c r="M17" s="24"/>
      <c r="N17" s="24"/>
      <c r="O17" s="24"/>
      <c r="P17" s="25"/>
      <c r="Q17" s="23"/>
      <c r="R17" s="24"/>
      <c r="S17" s="24"/>
      <c r="T17" s="24"/>
      <c r="U17" s="25"/>
    </row>
    <row r="18">
      <c r="B18" s="26">
        <v>45684.0</v>
      </c>
      <c r="C18" s="27" t="s">
        <v>20</v>
      </c>
      <c r="D18" s="27" t="s">
        <v>15</v>
      </c>
      <c r="E18" s="28">
        <v>75000.0</v>
      </c>
      <c r="G18" s="26"/>
      <c r="H18" s="30"/>
      <c r="I18" s="30"/>
      <c r="J18" s="30"/>
      <c r="K18" s="31"/>
      <c r="L18" s="29"/>
      <c r="M18" s="30"/>
      <c r="N18" s="30"/>
      <c r="O18" s="30"/>
      <c r="P18" s="31"/>
      <c r="Q18" s="29"/>
      <c r="R18" s="30"/>
      <c r="S18" s="30"/>
      <c r="T18" s="30"/>
      <c r="U18" s="31"/>
    </row>
    <row r="19">
      <c r="B19" s="36">
        <v>45685.0</v>
      </c>
      <c r="C19" s="21" t="s">
        <v>35</v>
      </c>
      <c r="D19" s="21" t="s">
        <v>15</v>
      </c>
      <c r="E19" s="22">
        <v>115019.0</v>
      </c>
      <c r="G19" s="20"/>
      <c r="H19" s="24"/>
      <c r="I19" s="24"/>
      <c r="J19" s="24"/>
      <c r="K19" s="25"/>
      <c r="L19" s="23"/>
      <c r="M19" s="24"/>
      <c r="N19" s="24"/>
      <c r="O19" s="24"/>
      <c r="P19" s="25"/>
      <c r="Q19" s="23"/>
      <c r="R19" s="24"/>
      <c r="S19" s="24"/>
      <c r="T19" s="24"/>
      <c r="U19" s="25"/>
    </row>
    <row r="20">
      <c r="B20" s="26">
        <v>45688.0</v>
      </c>
      <c r="C20" s="27" t="s">
        <v>45</v>
      </c>
      <c r="D20" s="27" t="s">
        <v>15</v>
      </c>
      <c r="E20" s="28">
        <v>5610.0</v>
      </c>
      <c r="G20" s="26"/>
      <c r="H20" s="30"/>
      <c r="I20" s="30"/>
      <c r="J20" s="30"/>
      <c r="K20" s="31"/>
      <c r="L20" s="29"/>
      <c r="M20" s="30"/>
      <c r="N20" s="30"/>
      <c r="O20" s="30"/>
      <c r="P20" s="31"/>
      <c r="Q20" s="29"/>
      <c r="R20" s="30"/>
      <c r="S20" s="30"/>
      <c r="T20" s="30"/>
      <c r="U20" s="31"/>
    </row>
    <row r="21">
      <c r="B21" s="36">
        <v>45661.0</v>
      </c>
      <c r="C21" s="21" t="s">
        <v>46</v>
      </c>
      <c r="D21" s="21" t="s">
        <v>15</v>
      </c>
      <c r="E21" s="22">
        <v>23000.0</v>
      </c>
      <c r="G21" s="20"/>
      <c r="H21" s="24"/>
      <c r="I21" s="24"/>
      <c r="J21" s="24"/>
      <c r="K21" s="25"/>
      <c r="L21" s="23"/>
      <c r="M21" s="24"/>
      <c r="N21" s="24"/>
      <c r="O21" s="24"/>
      <c r="P21" s="25"/>
      <c r="Q21" s="23"/>
      <c r="R21" s="24"/>
      <c r="S21" s="24"/>
      <c r="T21" s="24"/>
      <c r="U21" s="25"/>
    </row>
    <row r="22">
      <c r="B22" s="32">
        <v>45685.0</v>
      </c>
      <c r="C22" s="27" t="s">
        <v>47</v>
      </c>
      <c r="D22" s="27" t="s">
        <v>15</v>
      </c>
      <c r="E22" s="28">
        <v>110000.0</v>
      </c>
      <c r="G22" s="26"/>
      <c r="H22" s="30"/>
      <c r="I22" s="30"/>
      <c r="J22" s="30"/>
      <c r="K22" s="31"/>
      <c r="L22" s="29"/>
      <c r="M22" s="30"/>
      <c r="N22" s="30"/>
      <c r="O22" s="30"/>
      <c r="P22" s="31"/>
      <c r="Q22" s="29"/>
      <c r="R22" s="30"/>
      <c r="S22" s="30"/>
      <c r="T22" s="30"/>
      <c r="U22" s="31"/>
    </row>
    <row r="23">
      <c r="B23" s="23"/>
      <c r="C23" s="24"/>
      <c r="D23" s="24"/>
      <c r="E23" s="25"/>
      <c r="G23" s="20"/>
      <c r="H23" s="24"/>
      <c r="I23" s="24"/>
      <c r="J23" s="24"/>
      <c r="K23" s="25"/>
      <c r="L23" s="23"/>
      <c r="M23" s="24"/>
      <c r="N23" s="24"/>
      <c r="O23" s="24"/>
      <c r="P23" s="25"/>
      <c r="Q23" s="23"/>
      <c r="R23" s="24"/>
      <c r="S23" s="24"/>
      <c r="T23" s="24"/>
      <c r="U23" s="25"/>
    </row>
    <row r="24">
      <c r="B24" s="29"/>
      <c r="C24" s="30"/>
      <c r="D24" s="30"/>
      <c r="E24" s="31"/>
      <c r="G24" s="26"/>
      <c r="H24" s="30"/>
      <c r="I24" s="30"/>
      <c r="J24" s="30"/>
      <c r="K24" s="31"/>
      <c r="L24" s="29"/>
      <c r="M24" s="30"/>
      <c r="N24" s="30"/>
      <c r="O24" s="30"/>
      <c r="P24" s="31"/>
      <c r="Q24" s="29"/>
      <c r="R24" s="30"/>
      <c r="S24" s="30"/>
      <c r="T24" s="30"/>
      <c r="U24" s="31"/>
    </row>
    <row r="25">
      <c r="B25" s="23"/>
      <c r="C25" s="24"/>
      <c r="D25" s="24"/>
      <c r="E25" s="25"/>
      <c r="G25" s="20"/>
      <c r="H25" s="24"/>
      <c r="I25" s="24"/>
      <c r="J25" s="24"/>
      <c r="K25" s="25"/>
      <c r="L25" s="23"/>
      <c r="M25" s="24"/>
      <c r="N25" s="24"/>
      <c r="O25" s="24"/>
      <c r="P25" s="25"/>
      <c r="Q25" s="23"/>
      <c r="R25" s="24"/>
      <c r="S25" s="24"/>
      <c r="T25" s="24"/>
      <c r="U25" s="25"/>
    </row>
    <row r="26">
      <c r="B26" s="29"/>
      <c r="C26" s="30"/>
      <c r="D26" s="30"/>
      <c r="E26" s="31"/>
      <c r="G26" s="29"/>
      <c r="H26" s="30"/>
      <c r="I26" s="30"/>
      <c r="J26" s="30"/>
      <c r="K26" s="31"/>
      <c r="L26" s="29"/>
      <c r="M26" s="30"/>
      <c r="N26" s="30"/>
      <c r="O26" s="30"/>
      <c r="P26" s="31"/>
      <c r="Q26" s="29"/>
      <c r="R26" s="30"/>
      <c r="S26" s="30"/>
      <c r="T26" s="30"/>
      <c r="U26" s="31"/>
    </row>
    <row r="27">
      <c r="B27" s="23"/>
      <c r="C27" s="24"/>
      <c r="D27" s="24"/>
      <c r="E27" s="25"/>
      <c r="G27" s="23"/>
      <c r="H27" s="24"/>
      <c r="I27" s="24"/>
      <c r="J27" s="24"/>
      <c r="K27" s="25"/>
      <c r="L27" s="23"/>
      <c r="M27" s="24"/>
      <c r="N27" s="24"/>
      <c r="O27" s="24"/>
      <c r="P27" s="25"/>
      <c r="Q27" s="23"/>
      <c r="R27" s="24"/>
      <c r="S27" s="24"/>
      <c r="T27" s="24"/>
      <c r="U27" s="25"/>
    </row>
    <row r="28">
      <c r="B28" s="29"/>
      <c r="C28" s="30"/>
      <c r="D28" s="30"/>
      <c r="E28" s="31"/>
      <c r="G28" s="29"/>
      <c r="H28" s="30"/>
      <c r="I28" s="30"/>
      <c r="J28" s="30"/>
      <c r="K28" s="31"/>
      <c r="L28" s="29"/>
      <c r="M28" s="30"/>
      <c r="N28" s="30"/>
      <c r="O28" s="30"/>
      <c r="P28" s="31"/>
      <c r="Q28" s="29"/>
      <c r="R28" s="30"/>
      <c r="S28" s="30"/>
      <c r="T28" s="30"/>
      <c r="U28" s="31"/>
    </row>
    <row r="29">
      <c r="B29" s="23"/>
      <c r="C29" s="24"/>
      <c r="D29" s="24"/>
      <c r="E29" s="25"/>
      <c r="G29" s="23"/>
      <c r="H29" s="24"/>
      <c r="I29" s="24"/>
      <c r="J29" s="24"/>
      <c r="K29" s="25"/>
      <c r="L29" s="23"/>
      <c r="M29" s="24"/>
      <c r="N29" s="24"/>
      <c r="O29" s="24"/>
      <c r="P29" s="25"/>
      <c r="Q29" s="23"/>
      <c r="R29" s="24"/>
      <c r="S29" s="24"/>
      <c r="T29" s="24"/>
      <c r="U29" s="25"/>
    </row>
    <row r="30">
      <c r="B30" s="29"/>
      <c r="C30" s="30"/>
      <c r="D30" s="30"/>
      <c r="E30" s="31"/>
      <c r="G30" s="29"/>
      <c r="H30" s="30"/>
      <c r="I30" s="30"/>
      <c r="J30" s="30"/>
      <c r="K30" s="31"/>
      <c r="L30" s="29"/>
      <c r="M30" s="30"/>
      <c r="N30" s="30"/>
      <c r="O30" s="30"/>
      <c r="P30" s="31"/>
      <c r="Q30" s="29"/>
      <c r="R30" s="30"/>
      <c r="S30" s="30"/>
      <c r="T30" s="30"/>
      <c r="U30" s="31"/>
    </row>
    <row r="31">
      <c r="B31" s="23"/>
      <c r="C31" s="24"/>
      <c r="D31" s="24"/>
      <c r="E31" s="25"/>
      <c r="G31" s="23"/>
      <c r="H31" s="24"/>
      <c r="I31" s="24"/>
      <c r="J31" s="24"/>
      <c r="K31" s="25"/>
      <c r="L31" s="23"/>
      <c r="M31" s="24"/>
      <c r="N31" s="24"/>
      <c r="O31" s="24"/>
      <c r="P31" s="25"/>
      <c r="Q31" s="23"/>
      <c r="R31" s="24"/>
      <c r="S31" s="24"/>
      <c r="T31" s="24"/>
      <c r="U31" s="25"/>
    </row>
    <row r="32">
      <c r="B32" s="29"/>
      <c r="C32" s="30"/>
      <c r="D32" s="30"/>
      <c r="E32" s="31"/>
      <c r="G32" s="29"/>
      <c r="H32" s="30"/>
      <c r="I32" s="30"/>
      <c r="J32" s="30"/>
      <c r="K32" s="31"/>
      <c r="L32" s="29"/>
      <c r="M32" s="30"/>
      <c r="N32" s="30"/>
      <c r="O32" s="30"/>
      <c r="P32" s="31"/>
      <c r="Q32" s="29"/>
      <c r="R32" s="30"/>
      <c r="S32" s="30"/>
      <c r="T32" s="30"/>
      <c r="U32" s="31"/>
    </row>
    <row r="33">
      <c r="B33" s="23"/>
      <c r="C33" s="24"/>
      <c r="D33" s="24"/>
      <c r="E33" s="25"/>
      <c r="G33" s="23"/>
      <c r="H33" s="24"/>
      <c r="I33" s="24"/>
      <c r="J33" s="24"/>
      <c r="K33" s="25"/>
      <c r="L33" s="23"/>
      <c r="M33" s="24"/>
      <c r="N33" s="24"/>
      <c r="O33" s="24"/>
      <c r="P33" s="25"/>
      <c r="Q33" s="23"/>
      <c r="R33" s="24"/>
      <c r="S33" s="24"/>
      <c r="T33" s="24"/>
      <c r="U33" s="25"/>
    </row>
    <row r="34">
      <c r="B34" s="29"/>
      <c r="C34" s="30"/>
      <c r="D34" s="30"/>
      <c r="E34" s="31"/>
      <c r="G34" s="29"/>
      <c r="H34" s="30"/>
      <c r="I34" s="30"/>
      <c r="J34" s="30"/>
      <c r="K34" s="31"/>
      <c r="L34" s="29"/>
      <c r="M34" s="30"/>
      <c r="N34" s="30"/>
      <c r="O34" s="30"/>
      <c r="P34" s="31"/>
      <c r="Q34" s="29"/>
      <c r="R34" s="30"/>
      <c r="S34" s="30"/>
      <c r="T34" s="30"/>
      <c r="U34" s="31"/>
    </row>
    <row r="35">
      <c r="B35" s="23"/>
      <c r="C35" s="24"/>
      <c r="D35" s="24"/>
      <c r="E35" s="25"/>
      <c r="G35" s="23"/>
      <c r="H35" s="24"/>
      <c r="I35" s="24"/>
      <c r="J35" s="24"/>
      <c r="K35" s="25"/>
      <c r="L35" s="23"/>
      <c r="M35" s="24"/>
      <c r="N35" s="24"/>
      <c r="O35" s="24"/>
      <c r="P35" s="25"/>
      <c r="Q35" s="23"/>
      <c r="R35" s="24"/>
      <c r="S35" s="24"/>
      <c r="T35" s="24"/>
      <c r="U35" s="25"/>
    </row>
    <row r="36">
      <c r="B36" s="29"/>
      <c r="C36" s="30"/>
      <c r="D36" s="30"/>
      <c r="E36" s="31"/>
      <c r="G36" s="29"/>
      <c r="H36" s="30"/>
      <c r="I36" s="30"/>
      <c r="J36" s="30"/>
      <c r="K36" s="31"/>
      <c r="L36" s="29"/>
      <c r="M36" s="30"/>
      <c r="N36" s="30"/>
      <c r="O36" s="30"/>
      <c r="P36" s="31"/>
      <c r="Q36" s="29"/>
      <c r="R36" s="30"/>
      <c r="S36" s="30"/>
      <c r="T36" s="30"/>
      <c r="U36" s="31"/>
    </row>
    <row r="37">
      <c r="B37" s="37" t="s">
        <v>48</v>
      </c>
      <c r="C37" s="2"/>
      <c r="D37" s="2"/>
      <c r="E37" s="38">
        <f>SUM(E5:E36)</f>
        <v>1019818</v>
      </c>
      <c r="G37" s="39"/>
      <c r="H37" s="40"/>
      <c r="I37" s="40"/>
      <c r="J37" s="41" t="s">
        <v>48</v>
      </c>
      <c r="K37" s="42">
        <f>SUM(K5,K5:K36)</f>
        <v>695597</v>
      </c>
      <c r="L37" s="43"/>
      <c r="M37" s="44"/>
      <c r="N37" s="44"/>
      <c r="O37" s="45" t="s">
        <v>48</v>
      </c>
      <c r="P37" s="42">
        <f>SUM(P5,P5:P36)</f>
        <v>739071.02</v>
      </c>
      <c r="Q37" s="46"/>
      <c r="R37" s="47"/>
      <c r="S37" s="47"/>
      <c r="T37" s="37" t="s">
        <v>48</v>
      </c>
      <c r="U37" s="42">
        <f>SUM(U5,U5:U36)</f>
        <v>0</v>
      </c>
    </row>
    <row r="38">
      <c r="B38" s="48"/>
      <c r="G38" s="48" t="s">
        <v>49</v>
      </c>
      <c r="U38" s="49">
        <f>SUM(K37,P37,U37)</f>
        <v>1434668.02</v>
      </c>
    </row>
    <row r="41">
      <c r="T41" s="50" t="s">
        <v>1</v>
      </c>
      <c r="U41" s="51">
        <f>SUM(U38)</f>
        <v>1434668.02</v>
      </c>
    </row>
    <row r="42">
      <c r="T42" s="52" t="s">
        <v>0</v>
      </c>
      <c r="U42" s="53">
        <f>E37</f>
        <v>1019818</v>
      </c>
    </row>
    <row r="43">
      <c r="T43" s="54" t="s">
        <v>50</v>
      </c>
      <c r="U43" s="49">
        <f>SUM(U41-U42)</f>
        <v>414850.02</v>
      </c>
    </row>
  </sheetData>
  <mergeCells count="10">
    <mergeCell ref="B37:D37"/>
    <mergeCell ref="B38:E38"/>
    <mergeCell ref="G38:T38"/>
    <mergeCell ref="B2:E2"/>
    <mergeCell ref="G2:U2"/>
    <mergeCell ref="B3:E3"/>
    <mergeCell ref="G3:K3"/>
    <mergeCell ref="L3:P3"/>
    <mergeCell ref="Q3:U3"/>
    <mergeCell ref="P12:P1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32.63"/>
    <col customWidth="1" min="4" max="4" width="14.5"/>
    <col customWidth="1" min="5" max="5" width="11.25"/>
    <col customWidth="1" min="6" max="6" width="3.75"/>
    <col customWidth="1" min="7" max="7" width="15.0"/>
    <col customWidth="1" min="8" max="8" width="16.88"/>
    <col customWidth="1" min="9" max="9" width="20.0"/>
    <col customWidth="1" min="10" max="10" width="17.63"/>
    <col customWidth="1" min="13" max="13" width="18.25"/>
    <col customWidth="1" min="14" max="14" width="21.13"/>
    <col customWidth="1" min="15" max="15" width="17.88"/>
    <col customWidth="1" min="18" max="18" width="14.5"/>
    <col customWidth="1" min="19" max="19" width="17.63"/>
    <col customWidth="1" min="20" max="20" width="18.13"/>
  </cols>
  <sheetData>
    <row r="2">
      <c r="B2" s="1" t="s">
        <v>0</v>
      </c>
      <c r="C2" s="2"/>
      <c r="D2" s="2"/>
      <c r="E2" s="3"/>
      <c r="G2" s="1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>
      <c r="B3" s="4" t="s">
        <v>2</v>
      </c>
      <c r="C3" s="5"/>
      <c r="D3" s="5"/>
      <c r="E3" s="6"/>
      <c r="G3" s="7" t="s">
        <v>3</v>
      </c>
      <c r="H3" s="5"/>
      <c r="I3" s="5"/>
      <c r="J3" s="5"/>
      <c r="K3" s="6"/>
      <c r="L3" s="8" t="s">
        <v>4</v>
      </c>
      <c r="M3" s="5"/>
      <c r="N3" s="5"/>
      <c r="O3" s="5"/>
      <c r="P3" s="6"/>
      <c r="Q3" s="4" t="s">
        <v>2</v>
      </c>
      <c r="R3" s="5"/>
      <c r="S3" s="5"/>
      <c r="T3" s="5"/>
      <c r="U3" s="6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2"/>
      <c r="G4" s="13" t="s">
        <v>9</v>
      </c>
      <c r="H4" s="14" t="s">
        <v>10</v>
      </c>
      <c r="I4" s="15" t="s">
        <v>11</v>
      </c>
      <c r="J4" s="14" t="s">
        <v>12</v>
      </c>
      <c r="K4" s="16" t="s">
        <v>8</v>
      </c>
      <c r="L4" s="17" t="s">
        <v>9</v>
      </c>
      <c r="M4" s="18" t="s">
        <v>10</v>
      </c>
      <c r="N4" s="18" t="s">
        <v>11</v>
      </c>
      <c r="O4" s="18" t="s">
        <v>12</v>
      </c>
      <c r="P4" s="19" t="s">
        <v>8</v>
      </c>
      <c r="Q4" s="9" t="s">
        <v>9</v>
      </c>
      <c r="R4" s="10" t="s">
        <v>13</v>
      </c>
      <c r="S4" s="10" t="s">
        <v>11</v>
      </c>
      <c r="T4" s="10" t="s">
        <v>12</v>
      </c>
      <c r="U4" s="11" t="s">
        <v>8</v>
      </c>
    </row>
    <row r="5">
      <c r="B5" s="20">
        <v>45696.0</v>
      </c>
      <c r="C5" s="21" t="s">
        <v>26</v>
      </c>
      <c r="D5" s="21" t="s">
        <v>15</v>
      </c>
      <c r="E5" s="22">
        <v>8500.0</v>
      </c>
      <c r="F5" s="12"/>
      <c r="G5" s="20">
        <v>45689.0</v>
      </c>
      <c r="H5" s="21" t="s">
        <v>51</v>
      </c>
      <c r="I5" s="21" t="s">
        <v>17</v>
      </c>
      <c r="J5" s="21" t="s">
        <v>18</v>
      </c>
      <c r="K5" s="22">
        <v>67627.0</v>
      </c>
      <c r="L5" s="20">
        <v>45689.0</v>
      </c>
      <c r="M5" s="21" t="s">
        <v>52</v>
      </c>
      <c r="N5" s="21" t="s">
        <v>17</v>
      </c>
      <c r="O5" s="21" t="s">
        <v>18</v>
      </c>
      <c r="P5" s="22">
        <v>77288.0</v>
      </c>
      <c r="Q5" s="23"/>
      <c r="R5" s="24"/>
      <c r="S5" s="24"/>
      <c r="T5" s="24"/>
      <c r="U5" s="25"/>
    </row>
    <row r="6">
      <c r="B6" s="26">
        <v>45697.0</v>
      </c>
      <c r="C6" s="27" t="s">
        <v>20</v>
      </c>
      <c r="D6" s="27" t="s">
        <v>15</v>
      </c>
      <c r="E6" s="28">
        <v>120000.0</v>
      </c>
      <c r="F6" s="12"/>
      <c r="G6" s="26">
        <v>45690.0</v>
      </c>
      <c r="H6" s="27" t="s">
        <v>53</v>
      </c>
      <c r="I6" s="27" t="s">
        <v>17</v>
      </c>
      <c r="J6" s="27" t="s">
        <v>18</v>
      </c>
      <c r="K6" s="28">
        <v>125592.0</v>
      </c>
      <c r="L6" s="26">
        <v>45690.0</v>
      </c>
      <c r="M6" s="27" t="s">
        <v>54</v>
      </c>
      <c r="N6" s="27" t="s">
        <v>17</v>
      </c>
      <c r="O6" s="27" t="s">
        <v>18</v>
      </c>
      <c r="P6" s="28">
        <v>135251.0</v>
      </c>
      <c r="Q6" s="29"/>
      <c r="R6" s="30"/>
      <c r="S6" s="30"/>
      <c r="T6" s="30"/>
      <c r="U6" s="31"/>
    </row>
    <row r="7">
      <c r="B7" s="20">
        <v>45697.0</v>
      </c>
      <c r="C7" s="21" t="s">
        <v>55</v>
      </c>
      <c r="D7" s="21" t="s">
        <v>15</v>
      </c>
      <c r="E7" s="22">
        <v>40000.0</v>
      </c>
      <c r="F7" s="12"/>
      <c r="G7" s="20">
        <v>45691.0</v>
      </c>
      <c r="H7" s="21" t="s">
        <v>53</v>
      </c>
      <c r="I7" s="21" t="s">
        <v>17</v>
      </c>
      <c r="J7" s="21" t="s">
        <v>18</v>
      </c>
      <c r="K7" s="35"/>
      <c r="L7" s="20">
        <v>45691.0</v>
      </c>
      <c r="M7" s="21" t="s">
        <v>54</v>
      </c>
      <c r="N7" s="21" t="s">
        <v>17</v>
      </c>
      <c r="O7" s="21" t="s">
        <v>18</v>
      </c>
      <c r="P7" s="35"/>
      <c r="Q7" s="23"/>
      <c r="R7" s="24"/>
      <c r="S7" s="24"/>
      <c r="T7" s="24"/>
      <c r="U7" s="25"/>
    </row>
    <row r="8">
      <c r="B8" s="32">
        <v>45698.0</v>
      </c>
      <c r="C8" s="27" t="s">
        <v>56</v>
      </c>
      <c r="D8" s="27" t="s">
        <v>15</v>
      </c>
      <c r="E8" s="28">
        <v>43626.0</v>
      </c>
      <c r="F8" s="12"/>
      <c r="G8" s="26">
        <v>45695.0</v>
      </c>
      <c r="H8" s="27" t="s">
        <v>57</v>
      </c>
      <c r="I8" s="27" t="s">
        <v>17</v>
      </c>
      <c r="J8" s="27" t="s">
        <v>18</v>
      </c>
      <c r="K8" s="28">
        <v>74387.0</v>
      </c>
      <c r="L8" s="26">
        <v>45693.0</v>
      </c>
      <c r="M8" s="27" t="s">
        <v>58</v>
      </c>
      <c r="N8" s="27" t="s">
        <v>17</v>
      </c>
      <c r="O8" s="27" t="s">
        <v>18</v>
      </c>
      <c r="P8" s="28">
        <v>67627.0</v>
      </c>
      <c r="Q8" s="29"/>
      <c r="R8" s="30"/>
      <c r="S8" s="30"/>
      <c r="T8" s="30"/>
      <c r="U8" s="31"/>
    </row>
    <row r="9">
      <c r="B9" s="20">
        <v>45698.0</v>
      </c>
      <c r="C9" s="21" t="s">
        <v>59</v>
      </c>
      <c r="D9" s="21" t="s">
        <v>15</v>
      </c>
      <c r="E9" s="22">
        <v>2996.0</v>
      </c>
      <c r="F9" s="12"/>
      <c r="G9" s="20">
        <v>45696.0</v>
      </c>
      <c r="H9" s="21" t="s">
        <v>60</v>
      </c>
      <c r="I9" s="21" t="s">
        <v>17</v>
      </c>
      <c r="J9" s="21" t="s">
        <v>18</v>
      </c>
      <c r="K9" s="22">
        <v>67627.0</v>
      </c>
      <c r="L9" s="20">
        <v>45696.0</v>
      </c>
      <c r="M9" s="21" t="s">
        <v>61</v>
      </c>
      <c r="N9" s="21" t="s">
        <v>17</v>
      </c>
      <c r="O9" s="21" t="s">
        <v>18</v>
      </c>
      <c r="P9" s="22">
        <v>77288.0</v>
      </c>
      <c r="Q9" s="23"/>
      <c r="R9" s="24"/>
      <c r="S9" s="24"/>
      <c r="T9" s="24"/>
      <c r="U9" s="25"/>
    </row>
    <row r="10">
      <c r="B10" s="26">
        <v>45714.0</v>
      </c>
      <c r="C10" s="27" t="s">
        <v>29</v>
      </c>
      <c r="D10" s="27" t="s">
        <v>15</v>
      </c>
      <c r="E10" s="28">
        <v>95000.0</v>
      </c>
      <c r="F10" s="12"/>
      <c r="G10" s="26">
        <v>45697.0</v>
      </c>
      <c r="H10" s="27" t="s">
        <v>62</v>
      </c>
      <c r="I10" s="27" t="s">
        <v>17</v>
      </c>
      <c r="J10" s="27" t="s">
        <v>18</v>
      </c>
      <c r="K10" s="28">
        <v>57966.0</v>
      </c>
      <c r="L10" s="26">
        <v>45700.0</v>
      </c>
      <c r="M10" s="27" t="s">
        <v>63</v>
      </c>
      <c r="N10" s="27" t="s">
        <v>17</v>
      </c>
      <c r="O10" s="27" t="s">
        <v>18</v>
      </c>
      <c r="P10" s="28">
        <v>135254.0</v>
      </c>
      <c r="Q10" s="29"/>
      <c r="R10" s="30"/>
      <c r="S10" s="30"/>
      <c r="T10" s="30"/>
      <c r="U10" s="31"/>
    </row>
    <row r="11">
      <c r="B11" s="20">
        <v>45690.0</v>
      </c>
      <c r="C11" s="21" t="s">
        <v>64</v>
      </c>
      <c r="D11" s="21" t="s">
        <v>15</v>
      </c>
      <c r="E11" s="22">
        <v>8730.0</v>
      </c>
      <c r="F11" s="12"/>
      <c r="G11" s="20">
        <v>45698.0</v>
      </c>
      <c r="H11" s="21" t="s">
        <v>65</v>
      </c>
      <c r="I11" s="21" t="s">
        <v>17</v>
      </c>
      <c r="J11" s="21" t="s">
        <v>18</v>
      </c>
      <c r="K11" s="22">
        <v>57966.0</v>
      </c>
      <c r="L11" s="20">
        <v>45701.0</v>
      </c>
      <c r="M11" s="21" t="s">
        <v>63</v>
      </c>
      <c r="N11" s="21" t="s">
        <v>17</v>
      </c>
      <c r="O11" s="21" t="s">
        <v>18</v>
      </c>
      <c r="P11" s="35"/>
      <c r="Q11" s="23"/>
      <c r="R11" s="24"/>
      <c r="S11" s="24"/>
      <c r="T11" s="24"/>
      <c r="U11" s="25"/>
    </row>
    <row r="12">
      <c r="B12" s="32">
        <v>45705.0</v>
      </c>
      <c r="C12" s="27" t="s">
        <v>32</v>
      </c>
      <c r="D12" s="27" t="s">
        <v>15</v>
      </c>
      <c r="E12" s="28">
        <v>56045.0</v>
      </c>
      <c r="F12" s="12"/>
      <c r="G12" s="26">
        <v>45701.0</v>
      </c>
      <c r="H12" s="27" t="s">
        <v>66</v>
      </c>
      <c r="I12" s="27" t="s">
        <v>17</v>
      </c>
      <c r="J12" s="27" t="s">
        <v>18</v>
      </c>
      <c r="K12" s="28">
        <v>67627.0</v>
      </c>
      <c r="L12" s="26">
        <v>45702.0</v>
      </c>
      <c r="M12" s="27" t="s">
        <v>60</v>
      </c>
      <c r="N12" s="27" t="s">
        <v>17</v>
      </c>
      <c r="O12" s="27" t="s">
        <v>18</v>
      </c>
      <c r="P12" s="28">
        <v>96610.0</v>
      </c>
      <c r="Q12" s="29"/>
      <c r="R12" s="30"/>
      <c r="S12" s="30"/>
      <c r="T12" s="30"/>
      <c r="U12" s="31"/>
    </row>
    <row r="13">
      <c r="B13" s="36">
        <v>45692.0</v>
      </c>
      <c r="C13" s="21" t="s">
        <v>46</v>
      </c>
      <c r="D13" s="21" t="s">
        <v>15</v>
      </c>
      <c r="E13" s="22">
        <v>23000.0</v>
      </c>
      <c r="F13" s="12"/>
      <c r="G13" s="20">
        <v>45702.0</v>
      </c>
      <c r="H13" s="21" t="s">
        <v>67</v>
      </c>
      <c r="I13" s="21" t="s">
        <v>17</v>
      </c>
      <c r="J13" s="21" t="s">
        <v>18</v>
      </c>
      <c r="K13" s="22">
        <v>96610.0</v>
      </c>
      <c r="L13" s="20">
        <v>45703.0</v>
      </c>
      <c r="M13" s="21" t="s">
        <v>57</v>
      </c>
      <c r="N13" s="21" t="s">
        <v>17</v>
      </c>
      <c r="O13" s="21" t="s">
        <v>18</v>
      </c>
      <c r="P13" s="22">
        <v>96610.0</v>
      </c>
      <c r="Q13" s="23"/>
      <c r="R13" s="24"/>
      <c r="S13" s="24"/>
      <c r="T13" s="24"/>
      <c r="U13" s="25"/>
    </row>
    <row r="14">
      <c r="B14" s="32">
        <v>45699.0</v>
      </c>
      <c r="C14" s="27" t="s">
        <v>68</v>
      </c>
      <c r="D14" s="27" t="s">
        <v>15</v>
      </c>
      <c r="E14" s="28">
        <v>350000.0</v>
      </c>
      <c r="G14" s="26">
        <v>45703.0</v>
      </c>
      <c r="H14" s="27" t="s">
        <v>19</v>
      </c>
      <c r="I14" s="27" t="s">
        <v>17</v>
      </c>
      <c r="J14" s="27" t="s">
        <v>18</v>
      </c>
      <c r="K14" s="28">
        <v>96610.0</v>
      </c>
      <c r="L14" s="26">
        <v>45704.0</v>
      </c>
      <c r="M14" s="27" t="s">
        <v>69</v>
      </c>
      <c r="N14" s="27" t="s">
        <v>17</v>
      </c>
      <c r="O14" s="27" t="s">
        <v>18</v>
      </c>
      <c r="P14" s="28">
        <v>96610.0</v>
      </c>
      <c r="Q14" s="29"/>
      <c r="R14" s="30"/>
      <c r="S14" s="30"/>
      <c r="T14" s="30"/>
      <c r="U14" s="31"/>
    </row>
    <row r="15">
      <c r="B15" s="36">
        <v>45716.0</v>
      </c>
      <c r="C15" s="21" t="s">
        <v>70</v>
      </c>
      <c r="D15" s="21" t="s">
        <v>15</v>
      </c>
      <c r="E15" s="22">
        <v>10000.0</v>
      </c>
      <c r="G15" s="20">
        <v>45704.0</v>
      </c>
      <c r="H15" s="21" t="s">
        <v>71</v>
      </c>
      <c r="I15" s="21" t="s">
        <v>17</v>
      </c>
      <c r="J15" s="21" t="s">
        <v>18</v>
      </c>
      <c r="K15" s="22">
        <v>96610.0</v>
      </c>
      <c r="L15" s="20">
        <v>45708.0</v>
      </c>
      <c r="M15" s="21" t="s">
        <v>72</v>
      </c>
      <c r="N15" s="21" t="s">
        <v>17</v>
      </c>
      <c r="O15" s="21" t="s">
        <v>18</v>
      </c>
      <c r="P15" s="22">
        <v>67627.0</v>
      </c>
      <c r="Q15" s="23"/>
      <c r="R15" s="24"/>
      <c r="S15" s="24"/>
      <c r="T15" s="24"/>
      <c r="U15" s="25"/>
    </row>
    <row r="16">
      <c r="B16" s="32">
        <v>45698.0</v>
      </c>
      <c r="C16" s="27" t="s">
        <v>73</v>
      </c>
      <c r="D16" s="27" t="s">
        <v>15</v>
      </c>
      <c r="E16" s="28">
        <v>123000.0</v>
      </c>
      <c r="G16" s="26">
        <v>45710.0</v>
      </c>
      <c r="H16" s="27" t="s">
        <v>74</v>
      </c>
      <c r="I16" s="27" t="s">
        <v>17</v>
      </c>
      <c r="J16" s="27" t="s">
        <v>18</v>
      </c>
      <c r="K16" s="28">
        <v>67627.0</v>
      </c>
      <c r="L16" s="26">
        <v>45710.0</v>
      </c>
      <c r="M16" s="27" t="s">
        <v>27</v>
      </c>
      <c r="N16" s="27" t="s">
        <v>17</v>
      </c>
      <c r="O16" s="27" t="s">
        <v>18</v>
      </c>
      <c r="P16" s="28">
        <v>77288.0</v>
      </c>
      <c r="Q16" s="29"/>
      <c r="R16" s="30"/>
      <c r="S16" s="30"/>
      <c r="T16" s="30"/>
      <c r="U16" s="31"/>
    </row>
    <row r="17">
      <c r="B17" s="36">
        <v>45716.0</v>
      </c>
      <c r="C17" s="21" t="s">
        <v>75</v>
      </c>
      <c r="D17" s="21" t="s">
        <v>15</v>
      </c>
      <c r="E17" s="22">
        <v>150000.0</v>
      </c>
      <c r="G17" s="20">
        <v>45711.0</v>
      </c>
      <c r="H17" s="21" t="s">
        <v>76</v>
      </c>
      <c r="I17" s="21" t="s">
        <v>17</v>
      </c>
      <c r="J17" s="21" t="s">
        <v>18</v>
      </c>
      <c r="K17" s="22">
        <v>57966.0</v>
      </c>
      <c r="L17" s="20">
        <v>45715.0</v>
      </c>
      <c r="M17" s="21" t="s">
        <v>71</v>
      </c>
      <c r="N17" s="21" t="s">
        <v>17</v>
      </c>
      <c r="O17" s="21" t="s">
        <v>18</v>
      </c>
      <c r="P17" s="22">
        <v>67627.0</v>
      </c>
      <c r="Q17" s="23"/>
      <c r="R17" s="24"/>
      <c r="S17" s="24"/>
      <c r="T17" s="24"/>
      <c r="U17" s="25"/>
    </row>
    <row r="18">
      <c r="B18" s="32">
        <v>45715.0</v>
      </c>
      <c r="C18" s="27" t="s">
        <v>32</v>
      </c>
      <c r="D18" s="27" t="s">
        <v>15</v>
      </c>
      <c r="E18" s="28">
        <v>69850.0</v>
      </c>
      <c r="G18" s="26">
        <v>45716.0</v>
      </c>
      <c r="H18" s="27" t="s">
        <v>15</v>
      </c>
      <c r="I18" s="27" t="s">
        <v>17</v>
      </c>
      <c r="J18" s="27" t="s">
        <v>18</v>
      </c>
      <c r="K18" s="28">
        <v>77288.0</v>
      </c>
      <c r="L18" s="26"/>
      <c r="M18" s="30"/>
      <c r="N18" s="27"/>
      <c r="O18" s="30"/>
      <c r="P18" s="31"/>
      <c r="Q18" s="29"/>
      <c r="R18" s="30"/>
      <c r="S18" s="30"/>
      <c r="T18" s="30"/>
      <c r="U18" s="31"/>
    </row>
    <row r="19">
      <c r="B19" s="36">
        <v>45716.0</v>
      </c>
      <c r="C19" s="21" t="s">
        <v>77</v>
      </c>
      <c r="D19" s="21" t="s">
        <v>15</v>
      </c>
      <c r="E19" s="22">
        <v>9350.0</v>
      </c>
      <c r="G19" s="20"/>
      <c r="H19" s="24"/>
      <c r="I19" s="21"/>
      <c r="J19" s="24"/>
      <c r="K19" s="22"/>
      <c r="L19" s="20"/>
      <c r="M19" s="24"/>
      <c r="N19" s="24"/>
      <c r="O19" s="24"/>
      <c r="P19" s="25"/>
      <c r="Q19" s="23"/>
      <c r="R19" s="24"/>
      <c r="S19" s="24"/>
      <c r="T19" s="24"/>
      <c r="U19" s="25"/>
    </row>
    <row r="20">
      <c r="B20" s="32">
        <v>45713.0</v>
      </c>
      <c r="C20" s="27" t="s">
        <v>47</v>
      </c>
      <c r="D20" s="27" t="s">
        <v>15</v>
      </c>
      <c r="E20" s="28">
        <v>160000.0</v>
      </c>
      <c r="G20" s="29"/>
      <c r="H20" s="30"/>
      <c r="I20" s="27"/>
      <c r="J20" s="30"/>
      <c r="K20" s="31"/>
      <c r="L20" s="29"/>
      <c r="M20" s="30"/>
      <c r="N20" s="30"/>
      <c r="O20" s="30"/>
      <c r="P20" s="31"/>
      <c r="Q20" s="29"/>
      <c r="R20" s="30"/>
      <c r="S20" s="30"/>
      <c r="T20" s="30"/>
      <c r="U20" s="31"/>
    </row>
    <row r="21">
      <c r="B21" s="23"/>
      <c r="C21" s="24"/>
      <c r="D21" s="24"/>
      <c r="E21" s="25"/>
      <c r="G21" s="23"/>
      <c r="H21" s="24"/>
      <c r="I21" s="21"/>
      <c r="J21" s="24"/>
      <c r="K21" s="25"/>
      <c r="L21" s="23"/>
      <c r="M21" s="24"/>
      <c r="N21" s="24"/>
      <c r="O21" s="24"/>
      <c r="P21" s="25"/>
      <c r="Q21" s="23"/>
      <c r="R21" s="24"/>
      <c r="S21" s="24"/>
      <c r="T21" s="24"/>
      <c r="U21" s="25"/>
    </row>
    <row r="22">
      <c r="B22" s="29"/>
      <c r="C22" s="30"/>
      <c r="D22" s="30"/>
      <c r="E22" s="31"/>
      <c r="G22" s="29"/>
      <c r="H22" s="30"/>
      <c r="I22" s="30"/>
      <c r="J22" s="30"/>
      <c r="K22" s="31"/>
      <c r="L22" s="29"/>
      <c r="M22" s="30"/>
      <c r="N22" s="30"/>
      <c r="O22" s="30"/>
      <c r="P22" s="31"/>
      <c r="Q22" s="29"/>
      <c r="R22" s="30"/>
      <c r="S22" s="30"/>
      <c r="T22" s="30"/>
      <c r="U22" s="31"/>
    </row>
    <row r="23">
      <c r="B23" s="23"/>
      <c r="C23" s="24"/>
      <c r="D23" s="24"/>
      <c r="E23" s="25"/>
      <c r="G23" s="23"/>
      <c r="H23" s="24"/>
      <c r="I23" s="24"/>
      <c r="J23" s="24"/>
      <c r="K23" s="25"/>
      <c r="L23" s="23"/>
      <c r="M23" s="24"/>
      <c r="N23" s="24"/>
      <c r="O23" s="24"/>
      <c r="P23" s="25"/>
      <c r="Q23" s="23"/>
      <c r="R23" s="24"/>
      <c r="S23" s="24"/>
      <c r="T23" s="24"/>
      <c r="U23" s="25"/>
    </row>
    <row r="24">
      <c r="B24" s="29"/>
      <c r="C24" s="30"/>
      <c r="D24" s="30"/>
      <c r="E24" s="31"/>
      <c r="G24" s="29"/>
      <c r="H24" s="30"/>
      <c r="I24" s="30"/>
      <c r="J24" s="30"/>
      <c r="K24" s="31"/>
      <c r="L24" s="29"/>
      <c r="M24" s="30"/>
      <c r="N24" s="30"/>
      <c r="O24" s="30"/>
      <c r="P24" s="31"/>
      <c r="Q24" s="29"/>
      <c r="R24" s="30"/>
      <c r="S24" s="30"/>
      <c r="T24" s="30"/>
      <c r="U24" s="31"/>
    </row>
    <row r="25">
      <c r="B25" s="23"/>
      <c r="C25" s="24"/>
      <c r="D25" s="24"/>
      <c r="E25" s="25"/>
      <c r="G25" s="23"/>
      <c r="H25" s="24"/>
      <c r="I25" s="24"/>
      <c r="J25" s="24"/>
      <c r="K25" s="25"/>
      <c r="L25" s="23"/>
      <c r="M25" s="24"/>
      <c r="N25" s="24"/>
      <c r="O25" s="24"/>
      <c r="P25" s="25"/>
      <c r="Q25" s="23"/>
      <c r="R25" s="24"/>
      <c r="S25" s="24"/>
      <c r="T25" s="24"/>
      <c r="U25" s="25"/>
    </row>
    <row r="26">
      <c r="B26" s="29"/>
      <c r="C26" s="30"/>
      <c r="D26" s="30"/>
      <c r="E26" s="31"/>
      <c r="G26" s="29"/>
      <c r="H26" s="30"/>
      <c r="I26" s="30"/>
      <c r="J26" s="30"/>
      <c r="K26" s="31"/>
      <c r="L26" s="29"/>
      <c r="M26" s="30"/>
      <c r="N26" s="30"/>
      <c r="O26" s="30"/>
      <c r="P26" s="31"/>
      <c r="Q26" s="29"/>
      <c r="R26" s="30"/>
      <c r="S26" s="30"/>
      <c r="T26" s="30"/>
      <c r="U26" s="31"/>
    </row>
    <row r="27">
      <c r="B27" s="23"/>
      <c r="C27" s="24"/>
      <c r="D27" s="24"/>
      <c r="E27" s="25"/>
      <c r="G27" s="23"/>
      <c r="H27" s="24"/>
      <c r="I27" s="24"/>
      <c r="J27" s="24"/>
      <c r="K27" s="25"/>
      <c r="L27" s="23"/>
      <c r="M27" s="24"/>
      <c r="N27" s="24"/>
      <c r="O27" s="24"/>
      <c r="P27" s="25"/>
      <c r="Q27" s="23"/>
      <c r="R27" s="24"/>
      <c r="S27" s="24"/>
      <c r="T27" s="24"/>
      <c r="U27" s="25"/>
    </row>
    <row r="28">
      <c r="B28" s="29"/>
      <c r="C28" s="30"/>
      <c r="D28" s="30"/>
      <c r="E28" s="31"/>
      <c r="G28" s="29"/>
      <c r="H28" s="30"/>
      <c r="I28" s="30"/>
      <c r="J28" s="30"/>
      <c r="K28" s="31"/>
      <c r="L28" s="29"/>
      <c r="M28" s="30"/>
      <c r="N28" s="30"/>
      <c r="O28" s="30"/>
      <c r="P28" s="31"/>
      <c r="Q28" s="29"/>
      <c r="R28" s="30"/>
      <c r="S28" s="30"/>
      <c r="T28" s="30"/>
      <c r="U28" s="31"/>
    </row>
    <row r="29">
      <c r="B29" s="23"/>
      <c r="C29" s="24"/>
      <c r="D29" s="24"/>
      <c r="E29" s="25"/>
      <c r="G29" s="23"/>
      <c r="H29" s="24"/>
      <c r="I29" s="24"/>
      <c r="J29" s="24"/>
      <c r="K29" s="25"/>
      <c r="L29" s="23"/>
      <c r="M29" s="24"/>
      <c r="N29" s="24"/>
      <c r="O29" s="24"/>
      <c r="P29" s="25"/>
      <c r="Q29" s="23"/>
      <c r="R29" s="24"/>
      <c r="S29" s="24"/>
      <c r="T29" s="24"/>
      <c r="U29" s="25"/>
    </row>
    <row r="30">
      <c r="B30" s="29"/>
      <c r="C30" s="30"/>
      <c r="D30" s="30"/>
      <c r="E30" s="31"/>
      <c r="G30" s="29"/>
      <c r="H30" s="30"/>
      <c r="I30" s="30"/>
      <c r="J30" s="30"/>
      <c r="K30" s="31"/>
      <c r="L30" s="29"/>
      <c r="M30" s="30"/>
      <c r="N30" s="30"/>
      <c r="O30" s="30"/>
      <c r="P30" s="31"/>
      <c r="Q30" s="29"/>
      <c r="R30" s="30"/>
      <c r="S30" s="30"/>
      <c r="T30" s="30"/>
      <c r="U30" s="31"/>
    </row>
    <row r="31">
      <c r="B31" s="23"/>
      <c r="C31" s="24"/>
      <c r="D31" s="24"/>
      <c r="E31" s="25"/>
      <c r="G31" s="23"/>
      <c r="H31" s="24"/>
      <c r="I31" s="24"/>
      <c r="J31" s="24"/>
      <c r="K31" s="25"/>
      <c r="L31" s="23"/>
      <c r="M31" s="24"/>
      <c r="N31" s="24"/>
      <c r="O31" s="24"/>
      <c r="P31" s="25"/>
      <c r="Q31" s="23"/>
      <c r="R31" s="24"/>
      <c r="S31" s="24"/>
      <c r="T31" s="24"/>
      <c r="U31" s="25"/>
    </row>
    <row r="32">
      <c r="B32" s="29"/>
      <c r="C32" s="30"/>
      <c r="D32" s="30"/>
      <c r="E32" s="31"/>
      <c r="G32" s="29"/>
      <c r="H32" s="30"/>
      <c r="I32" s="30"/>
      <c r="J32" s="30"/>
      <c r="K32" s="31"/>
      <c r="L32" s="29"/>
      <c r="M32" s="30"/>
      <c r="N32" s="30"/>
      <c r="O32" s="30"/>
      <c r="P32" s="31"/>
      <c r="Q32" s="29"/>
      <c r="R32" s="30"/>
      <c r="S32" s="30"/>
      <c r="T32" s="30"/>
      <c r="U32" s="31"/>
    </row>
    <row r="33">
      <c r="B33" s="23"/>
      <c r="C33" s="24"/>
      <c r="D33" s="24"/>
      <c r="E33" s="25"/>
      <c r="G33" s="23"/>
      <c r="H33" s="24"/>
      <c r="I33" s="24"/>
      <c r="J33" s="24"/>
      <c r="K33" s="25"/>
      <c r="L33" s="23"/>
      <c r="M33" s="24"/>
      <c r="N33" s="24"/>
      <c r="O33" s="24"/>
      <c r="P33" s="25"/>
      <c r="Q33" s="23"/>
      <c r="R33" s="24"/>
      <c r="S33" s="24"/>
      <c r="T33" s="24"/>
      <c r="U33" s="25"/>
    </row>
    <row r="34">
      <c r="B34" s="29"/>
      <c r="C34" s="30"/>
      <c r="D34" s="30"/>
      <c r="E34" s="31"/>
      <c r="G34" s="29"/>
      <c r="H34" s="30"/>
      <c r="I34" s="30"/>
      <c r="J34" s="30"/>
      <c r="K34" s="31"/>
      <c r="L34" s="29"/>
      <c r="M34" s="30"/>
      <c r="N34" s="30"/>
      <c r="O34" s="30"/>
      <c r="P34" s="31"/>
      <c r="Q34" s="29"/>
      <c r="R34" s="30"/>
      <c r="S34" s="30"/>
      <c r="T34" s="30"/>
      <c r="U34" s="31"/>
    </row>
    <row r="35">
      <c r="B35" s="23"/>
      <c r="C35" s="24"/>
      <c r="D35" s="24"/>
      <c r="E35" s="25"/>
      <c r="G35" s="23"/>
      <c r="H35" s="24"/>
      <c r="I35" s="24"/>
      <c r="J35" s="24"/>
      <c r="K35" s="25"/>
      <c r="L35" s="23"/>
      <c r="M35" s="24"/>
      <c r="N35" s="24"/>
      <c r="O35" s="24"/>
      <c r="P35" s="25"/>
      <c r="Q35" s="23"/>
      <c r="R35" s="24"/>
      <c r="S35" s="24"/>
      <c r="T35" s="24"/>
      <c r="U35" s="25"/>
    </row>
    <row r="36">
      <c r="B36" s="29"/>
      <c r="C36" s="30"/>
      <c r="D36" s="30"/>
      <c r="E36" s="31"/>
      <c r="G36" s="29"/>
      <c r="H36" s="30"/>
      <c r="I36" s="30"/>
      <c r="J36" s="30"/>
      <c r="K36" s="31"/>
      <c r="L36" s="29"/>
      <c r="M36" s="30"/>
      <c r="N36" s="30"/>
      <c r="O36" s="30"/>
      <c r="P36" s="31"/>
      <c r="Q36" s="29"/>
      <c r="R36" s="30"/>
      <c r="S36" s="30"/>
      <c r="T36" s="30"/>
      <c r="U36" s="31"/>
    </row>
    <row r="37">
      <c r="B37" s="37" t="s">
        <v>48</v>
      </c>
      <c r="C37" s="2"/>
      <c r="D37" s="2"/>
      <c r="E37" s="38">
        <f>SUM(E5:E36)</f>
        <v>1270097</v>
      </c>
      <c r="G37" s="39"/>
      <c r="H37" s="40"/>
      <c r="I37" s="40"/>
      <c r="J37" s="41" t="s">
        <v>48</v>
      </c>
      <c r="K37" s="42">
        <f>SUM(K5,K5:K36)</f>
        <v>1079130</v>
      </c>
      <c r="L37" s="43"/>
      <c r="M37" s="44"/>
      <c r="N37" s="44"/>
      <c r="O37" s="45" t="s">
        <v>48</v>
      </c>
      <c r="P37" s="42">
        <f>SUM(P5,P5:P36)</f>
        <v>1072368</v>
      </c>
      <c r="Q37" s="46"/>
      <c r="R37" s="47"/>
      <c r="S37" s="47"/>
      <c r="T37" s="37" t="s">
        <v>48</v>
      </c>
      <c r="U37" s="42">
        <f>SUM(U5,U5:U36)</f>
        <v>0</v>
      </c>
    </row>
    <row r="38">
      <c r="B38" s="48"/>
      <c r="G38" s="48" t="s">
        <v>49</v>
      </c>
      <c r="U38" s="49">
        <f>SUM(K37,P37,U37)</f>
        <v>2151498</v>
      </c>
    </row>
    <row r="41">
      <c r="T41" s="50" t="s">
        <v>1</v>
      </c>
      <c r="U41" s="51">
        <f>SUM(U38)</f>
        <v>2151498</v>
      </c>
    </row>
    <row r="42">
      <c r="T42" s="52" t="s">
        <v>0</v>
      </c>
      <c r="U42" s="53">
        <f>E37</f>
        <v>1270097</v>
      </c>
    </row>
    <row r="43">
      <c r="T43" s="54" t="s">
        <v>50</v>
      </c>
      <c r="U43" s="49">
        <f>SUM(U41-U42)</f>
        <v>881401</v>
      </c>
    </row>
  </sheetData>
  <mergeCells count="12">
    <mergeCell ref="P6:P7"/>
    <mergeCell ref="P10:P11"/>
    <mergeCell ref="B37:D37"/>
    <mergeCell ref="B38:E38"/>
    <mergeCell ref="G38:T38"/>
    <mergeCell ref="B2:E2"/>
    <mergeCell ref="G2:U2"/>
    <mergeCell ref="B3:E3"/>
    <mergeCell ref="G3:K3"/>
    <mergeCell ref="L3:P3"/>
    <mergeCell ref="Q3:U3"/>
    <mergeCell ref="K6:K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32.63"/>
    <col customWidth="1" min="4" max="4" width="14.5"/>
    <col customWidth="1" min="5" max="5" width="11.25"/>
    <col customWidth="1" min="6" max="6" width="3.75"/>
    <col customWidth="1" min="7" max="7" width="15.0"/>
    <col customWidth="1" min="8" max="8" width="16.88"/>
    <col customWidth="1" min="9" max="9" width="20.0"/>
    <col customWidth="1" min="10" max="10" width="17.63"/>
    <col customWidth="1" min="13" max="13" width="18.25"/>
    <col customWidth="1" min="14" max="14" width="21.13"/>
    <col customWidth="1" min="15" max="15" width="17.88"/>
    <col customWidth="1" min="18" max="18" width="14.5"/>
    <col customWidth="1" min="19" max="19" width="17.63"/>
    <col customWidth="1" min="20" max="20" width="18.13"/>
  </cols>
  <sheetData>
    <row r="2">
      <c r="B2" s="1" t="s">
        <v>0</v>
      </c>
      <c r="C2" s="2"/>
      <c r="D2" s="2"/>
      <c r="E2" s="3"/>
      <c r="G2" s="1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>
      <c r="B3" s="4" t="s">
        <v>2</v>
      </c>
      <c r="C3" s="5"/>
      <c r="D3" s="5"/>
      <c r="E3" s="6"/>
      <c r="G3" s="7" t="s">
        <v>3</v>
      </c>
      <c r="H3" s="5"/>
      <c r="I3" s="5"/>
      <c r="J3" s="5"/>
      <c r="K3" s="6"/>
      <c r="L3" s="8" t="s">
        <v>4</v>
      </c>
      <c r="M3" s="5"/>
      <c r="N3" s="5"/>
      <c r="O3" s="5"/>
      <c r="P3" s="6"/>
      <c r="Q3" s="4" t="s">
        <v>2</v>
      </c>
      <c r="R3" s="5"/>
      <c r="S3" s="5"/>
      <c r="T3" s="5"/>
      <c r="U3" s="6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2"/>
      <c r="G4" s="13" t="s">
        <v>9</v>
      </c>
      <c r="H4" s="14" t="s">
        <v>10</v>
      </c>
      <c r="I4" s="15" t="s">
        <v>11</v>
      </c>
      <c r="J4" s="14" t="s">
        <v>12</v>
      </c>
      <c r="K4" s="16" t="s">
        <v>8</v>
      </c>
      <c r="L4" s="17" t="s">
        <v>9</v>
      </c>
      <c r="M4" s="18" t="s">
        <v>10</v>
      </c>
      <c r="N4" s="18" t="s">
        <v>11</v>
      </c>
      <c r="O4" s="18" t="s">
        <v>12</v>
      </c>
      <c r="P4" s="19" t="s">
        <v>8</v>
      </c>
      <c r="Q4" s="9" t="s">
        <v>9</v>
      </c>
      <c r="R4" s="10" t="s">
        <v>13</v>
      </c>
      <c r="S4" s="10" t="s">
        <v>11</v>
      </c>
      <c r="T4" s="10" t="s">
        <v>12</v>
      </c>
      <c r="U4" s="11" t="s">
        <v>8</v>
      </c>
    </row>
    <row r="5">
      <c r="B5" s="20">
        <v>45721.0</v>
      </c>
      <c r="C5" s="21" t="s">
        <v>46</v>
      </c>
      <c r="D5" s="21" t="s">
        <v>15</v>
      </c>
      <c r="E5" s="22">
        <v>23000.0</v>
      </c>
      <c r="F5" s="12"/>
      <c r="G5" s="20">
        <v>45722.0</v>
      </c>
      <c r="H5" s="21" t="s">
        <v>78</v>
      </c>
      <c r="I5" s="21" t="s">
        <v>17</v>
      </c>
      <c r="J5" s="21" t="s">
        <v>18</v>
      </c>
      <c r="K5" s="22">
        <v>57966.0</v>
      </c>
      <c r="L5" s="20">
        <v>45719.0</v>
      </c>
      <c r="M5" s="21" t="s">
        <v>79</v>
      </c>
      <c r="N5" s="21" t="s">
        <v>17</v>
      </c>
      <c r="O5" s="21" t="s">
        <v>18</v>
      </c>
      <c r="P5" s="22">
        <v>67627.0</v>
      </c>
      <c r="Q5" s="23"/>
      <c r="R5" s="24"/>
      <c r="S5" s="24"/>
      <c r="T5" s="24"/>
      <c r="U5" s="25"/>
    </row>
    <row r="6">
      <c r="B6" s="26">
        <v>45722.0</v>
      </c>
      <c r="C6" s="27" t="s">
        <v>59</v>
      </c>
      <c r="D6" s="27" t="s">
        <v>15</v>
      </c>
      <c r="E6" s="28">
        <v>2875.0</v>
      </c>
      <c r="F6" s="12"/>
      <c r="G6" s="26">
        <v>45724.0</v>
      </c>
      <c r="H6" s="27" t="s">
        <v>80</v>
      </c>
      <c r="I6" s="27" t="s">
        <v>17</v>
      </c>
      <c r="J6" s="27" t="s">
        <v>18</v>
      </c>
      <c r="K6" s="28">
        <v>77288.0</v>
      </c>
      <c r="L6" s="26">
        <v>45720.0</v>
      </c>
      <c r="M6" s="27" t="s">
        <v>81</v>
      </c>
      <c r="N6" s="27" t="s">
        <v>17</v>
      </c>
      <c r="O6" s="27" t="s">
        <v>18</v>
      </c>
      <c r="P6" s="28">
        <v>77288.0</v>
      </c>
      <c r="Q6" s="29"/>
      <c r="R6" s="30"/>
      <c r="S6" s="30"/>
      <c r="T6" s="30"/>
      <c r="U6" s="31"/>
    </row>
    <row r="7">
      <c r="B7" s="20">
        <v>45722.0</v>
      </c>
      <c r="C7" s="21" t="s">
        <v>56</v>
      </c>
      <c r="D7" s="21" t="s">
        <v>15</v>
      </c>
      <c r="E7" s="22">
        <v>50248.0</v>
      </c>
      <c r="F7" s="12"/>
      <c r="G7" s="20">
        <v>45731.0</v>
      </c>
      <c r="H7" s="21" t="s">
        <v>82</v>
      </c>
      <c r="I7" s="21" t="s">
        <v>17</v>
      </c>
      <c r="J7" s="21" t="s">
        <v>18</v>
      </c>
      <c r="K7" s="22">
        <v>77288.0</v>
      </c>
      <c r="L7" s="20">
        <v>45724.0</v>
      </c>
      <c r="M7" s="21" t="s">
        <v>83</v>
      </c>
      <c r="N7" s="21" t="s">
        <v>17</v>
      </c>
      <c r="O7" s="21" t="s">
        <v>18</v>
      </c>
      <c r="P7" s="22">
        <v>77290.0</v>
      </c>
      <c r="Q7" s="23"/>
      <c r="R7" s="24"/>
      <c r="S7" s="24"/>
      <c r="T7" s="24"/>
      <c r="U7" s="25"/>
    </row>
    <row r="8">
      <c r="B8" s="26">
        <v>45722.0</v>
      </c>
      <c r="C8" s="27" t="s">
        <v>73</v>
      </c>
      <c r="D8" s="27" t="s">
        <v>15</v>
      </c>
      <c r="E8" s="28">
        <v>127253.0</v>
      </c>
      <c r="F8" s="12"/>
      <c r="G8" s="26">
        <v>45737.0</v>
      </c>
      <c r="H8" s="27" t="s">
        <v>61</v>
      </c>
      <c r="I8" s="27" t="s">
        <v>17</v>
      </c>
      <c r="J8" s="27" t="s">
        <v>18</v>
      </c>
      <c r="K8" s="28">
        <v>193218.0</v>
      </c>
      <c r="L8" s="26">
        <v>45725.0</v>
      </c>
      <c r="M8" s="27" t="s">
        <v>84</v>
      </c>
      <c r="N8" s="27" t="s">
        <v>17</v>
      </c>
      <c r="O8" s="27" t="s">
        <v>18</v>
      </c>
      <c r="P8" s="28">
        <v>77288.0</v>
      </c>
      <c r="Q8" s="29"/>
      <c r="R8" s="30"/>
      <c r="S8" s="30"/>
      <c r="T8" s="30"/>
      <c r="U8" s="31"/>
    </row>
    <row r="9">
      <c r="B9" s="20">
        <v>45717.0</v>
      </c>
      <c r="C9" s="21" t="s">
        <v>77</v>
      </c>
      <c r="D9" s="21" t="s">
        <v>15</v>
      </c>
      <c r="E9" s="22">
        <v>11735.0</v>
      </c>
      <c r="F9" s="12"/>
      <c r="G9" s="20">
        <v>45745.0</v>
      </c>
      <c r="H9" s="21" t="s">
        <v>85</v>
      </c>
      <c r="I9" s="21" t="s">
        <v>17</v>
      </c>
      <c r="J9" s="21" t="s">
        <v>18</v>
      </c>
      <c r="K9" s="22">
        <v>96610.0</v>
      </c>
      <c r="L9" s="20">
        <v>45730.0</v>
      </c>
      <c r="M9" s="21" t="s">
        <v>86</v>
      </c>
      <c r="N9" s="21" t="s">
        <v>17</v>
      </c>
      <c r="O9" s="21" t="s">
        <v>18</v>
      </c>
      <c r="P9" s="22">
        <v>77286.0</v>
      </c>
      <c r="Q9" s="23"/>
      <c r="R9" s="24"/>
      <c r="S9" s="24"/>
      <c r="T9" s="24"/>
      <c r="U9" s="25"/>
    </row>
    <row r="10">
      <c r="B10" s="26">
        <v>45726.0</v>
      </c>
      <c r="C10" s="27" t="s">
        <v>87</v>
      </c>
      <c r="D10" s="27" t="s">
        <v>15</v>
      </c>
      <c r="E10" s="28">
        <v>11890.0</v>
      </c>
      <c r="F10" s="12"/>
      <c r="G10" s="26"/>
      <c r="H10" s="30"/>
      <c r="I10" s="30"/>
      <c r="J10" s="30"/>
      <c r="K10" s="55"/>
      <c r="L10" s="26">
        <v>45725.0</v>
      </c>
      <c r="M10" s="27" t="s">
        <v>88</v>
      </c>
      <c r="N10" s="27" t="s">
        <v>17</v>
      </c>
      <c r="O10" s="27" t="s">
        <v>18</v>
      </c>
      <c r="P10" s="28">
        <v>77288.0</v>
      </c>
      <c r="Q10" s="29"/>
      <c r="R10" s="30"/>
      <c r="S10" s="30"/>
      <c r="T10" s="30"/>
      <c r="U10" s="31"/>
    </row>
    <row r="11">
      <c r="B11" s="20">
        <v>45728.0</v>
      </c>
      <c r="C11" s="21" t="s">
        <v>89</v>
      </c>
      <c r="D11" s="21" t="s">
        <v>15</v>
      </c>
      <c r="E11" s="22">
        <v>48600.0</v>
      </c>
      <c r="F11" s="12"/>
      <c r="G11" s="20"/>
      <c r="H11" s="24"/>
      <c r="I11" s="24"/>
      <c r="J11" s="24"/>
      <c r="K11" s="56"/>
      <c r="L11" s="20">
        <v>45738.0</v>
      </c>
      <c r="M11" s="21" t="s">
        <v>90</v>
      </c>
      <c r="N11" s="21" t="s">
        <v>17</v>
      </c>
      <c r="O11" s="21" t="s">
        <v>18</v>
      </c>
      <c r="P11" s="22">
        <v>96610.0</v>
      </c>
      <c r="Q11" s="23"/>
      <c r="R11" s="24"/>
      <c r="S11" s="24"/>
      <c r="T11" s="24"/>
      <c r="U11" s="25"/>
    </row>
    <row r="12">
      <c r="B12" s="26">
        <v>45731.0</v>
      </c>
      <c r="C12" s="27" t="s">
        <v>89</v>
      </c>
      <c r="D12" s="27" t="s">
        <v>15</v>
      </c>
      <c r="E12" s="28">
        <v>5450.0</v>
      </c>
      <c r="F12" s="12"/>
      <c r="G12" s="26"/>
      <c r="H12" s="30"/>
      <c r="I12" s="30"/>
      <c r="J12" s="30"/>
      <c r="K12" s="55"/>
      <c r="L12" s="26">
        <v>45745.0</v>
      </c>
      <c r="M12" s="27" t="s">
        <v>91</v>
      </c>
      <c r="N12" s="27" t="s">
        <v>17</v>
      </c>
      <c r="O12" s="27" t="s">
        <v>18</v>
      </c>
      <c r="P12" s="28">
        <v>77288.0</v>
      </c>
      <c r="Q12" s="29"/>
      <c r="R12" s="30"/>
      <c r="S12" s="30"/>
      <c r="T12" s="30"/>
      <c r="U12" s="31"/>
    </row>
    <row r="13">
      <c r="B13" s="20">
        <v>45719.0</v>
      </c>
      <c r="C13" s="21" t="s">
        <v>92</v>
      </c>
      <c r="D13" s="21" t="s">
        <v>15</v>
      </c>
      <c r="E13" s="22">
        <v>105000.0</v>
      </c>
      <c r="F13" s="12"/>
      <c r="G13" s="20"/>
      <c r="H13" s="24"/>
      <c r="I13" s="24"/>
      <c r="J13" s="24"/>
      <c r="K13" s="56"/>
      <c r="L13" s="23"/>
      <c r="M13" s="24"/>
      <c r="N13" s="24"/>
      <c r="O13" s="24"/>
      <c r="P13" s="56"/>
      <c r="Q13" s="23"/>
      <c r="R13" s="24"/>
      <c r="S13" s="24"/>
      <c r="T13" s="24"/>
      <c r="U13" s="25"/>
    </row>
    <row r="14">
      <c r="B14" s="26">
        <v>45722.0</v>
      </c>
      <c r="C14" s="27" t="s">
        <v>93</v>
      </c>
      <c r="D14" s="27" t="s">
        <v>15</v>
      </c>
      <c r="E14" s="28">
        <v>29459.0</v>
      </c>
      <c r="G14" s="26"/>
      <c r="H14" s="30"/>
      <c r="I14" s="30"/>
      <c r="J14" s="30"/>
      <c r="K14" s="31"/>
      <c r="L14" s="29"/>
      <c r="M14" s="30"/>
      <c r="N14" s="30"/>
      <c r="O14" s="30"/>
      <c r="P14" s="31"/>
      <c r="Q14" s="29"/>
      <c r="R14" s="30"/>
      <c r="S14" s="30"/>
      <c r="T14" s="30"/>
      <c r="U14" s="31"/>
    </row>
    <row r="15">
      <c r="B15" s="20">
        <v>45732.0</v>
      </c>
      <c r="C15" s="21" t="s">
        <v>92</v>
      </c>
      <c r="D15" s="21" t="s">
        <v>15</v>
      </c>
      <c r="E15" s="22">
        <v>100000.0</v>
      </c>
      <c r="G15" s="20"/>
      <c r="H15" s="24"/>
      <c r="I15" s="24"/>
      <c r="J15" s="24"/>
      <c r="K15" s="25"/>
      <c r="L15" s="23"/>
      <c r="M15" s="24"/>
      <c r="N15" s="24"/>
      <c r="O15" s="24"/>
      <c r="P15" s="25"/>
      <c r="Q15" s="23"/>
      <c r="R15" s="24"/>
      <c r="S15" s="24"/>
      <c r="T15" s="24"/>
      <c r="U15" s="25"/>
    </row>
    <row r="16">
      <c r="B16" s="26">
        <v>45735.0</v>
      </c>
      <c r="C16" s="27" t="s">
        <v>59</v>
      </c>
      <c r="D16" s="27" t="s">
        <v>15</v>
      </c>
      <c r="E16" s="28">
        <v>2109.0</v>
      </c>
      <c r="G16" s="29"/>
      <c r="H16" s="30"/>
      <c r="I16" s="30"/>
      <c r="J16" s="30"/>
      <c r="K16" s="31"/>
      <c r="L16" s="29"/>
      <c r="M16" s="30"/>
      <c r="N16" s="30"/>
      <c r="O16" s="30"/>
      <c r="P16" s="31"/>
      <c r="Q16" s="29"/>
      <c r="R16" s="30"/>
      <c r="S16" s="30"/>
      <c r="T16" s="30"/>
      <c r="U16" s="31"/>
    </row>
    <row r="17">
      <c r="B17" s="20">
        <v>45747.0</v>
      </c>
      <c r="C17" s="21" t="s">
        <v>94</v>
      </c>
      <c r="D17" s="21" t="s">
        <v>15</v>
      </c>
      <c r="E17" s="22">
        <v>90000.0</v>
      </c>
      <c r="G17" s="23"/>
      <c r="H17" s="24"/>
      <c r="I17" s="24"/>
      <c r="J17" s="24"/>
      <c r="K17" s="25"/>
      <c r="L17" s="23"/>
      <c r="M17" s="24"/>
      <c r="N17" s="24"/>
      <c r="O17" s="24"/>
      <c r="P17" s="25"/>
      <c r="Q17" s="23"/>
      <c r="R17" s="24"/>
      <c r="S17" s="24"/>
      <c r="T17" s="24"/>
      <c r="U17" s="25"/>
    </row>
    <row r="18">
      <c r="B18" s="26">
        <v>45721.0</v>
      </c>
      <c r="C18" s="27" t="s">
        <v>95</v>
      </c>
      <c r="D18" s="27" t="s">
        <v>15</v>
      </c>
      <c r="E18" s="28">
        <v>17580.0</v>
      </c>
      <c r="G18" s="29"/>
      <c r="H18" s="30"/>
      <c r="I18" s="30"/>
      <c r="J18" s="30"/>
      <c r="K18" s="31"/>
      <c r="L18" s="29"/>
      <c r="M18" s="30"/>
      <c r="N18" s="30"/>
      <c r="O18" s="30"/>
      <c r="P18" s="31"/>
      <c r="Q18" s="29"/>
      <c r="R18" s="30"/>
      <c r="S18" s="30"/>
      <c r="T18" s="30"/>
      <c r="U18" s="31"/>
    </row>
    <row r="19">
      <c r="B19" s="20">
        <v>45747.0</v>
      </c>
      <c r="C19" s="21" t="s">
        <v>47</v>
      </c>
      <c r="D19" s="21" t="s">
        <v>15</v>
      </c>
      <c r="E19" s="22">
        <v>120000.0</v>
      </c>
      <c r="G19" s="23"/>
      <c r="H19" s="24"/>
      <c r="I19" s="24"/>
      <c r="J19" s="24"/>
      <c r="K19" s="25"/>
      <c r="L19" s="23"/>
      <c r="M19" s="24"/>
      <c r="N19" s="24"/>
      <c r="O19" s="24"/>
      <c r="P19" s="25"/>
      <c r="Q19" s="23"/>
      <c r="R19" s="24"/>
      <c r="S19" s="24"/>
      <c r="T19" s="24"/>
      <c r="U19" s="25"/>
    </row>
    <row r="20">
      <c r="B20" s="26">
        <v>45739.0</v>
      </c>
      <c r="C20" s="27" t="s">
        <v>96</v>
      </c>
      <c r="D20" s="27" t="s">
        <v>97</v>
      </c>
      <c r="E20" s="28">
        <v>730.0</v>
      </c>
      <c r="G20" s="29"/>
      <c r="H20" s="30"/>
      <c r="I20" s="30"/>
      <c r="J20" s="30"/>
      <c r="K20" s="31"/>
      <c r="L20" s="29"/>
      <c r="M20" s="30"/>
      <c r="N20" s="30"/>
      <c r="O20" s="30"/>
      <c r="P20" s="31"/>
      <c r="Q20" s="29"/>
      <c r="R20" s="30"/>
      <c r="S20" s="30"/>
      <c r="T20" s="30"/>
      <c r="U20" s="31"/>
    </row>
    <row r="21">
      <c r="B21" s="23"/>
      <c r="C21" s="24"/>
      <c r="D21" s="24"/>
      <c r="E21" s="25"/>
      <c r="G21" s="23"/>
      <c r="H21" s="24"/>
      <c r="I21" s="24"/>
      <c r="J21" s="24"/>
      <c r="K21" s="25"/>
      <c r="L21" s="23"/>
      <c r="M21" s="24"/>
      <c r="N21" s="24"/>
      <c r="O21" s="24"/>
      <c r="P21" s="25"/>
      <c r="Q21" s="23"/>
      <c r="R21" s="24"/>
      <c r="S21" s="24"/>
      <c r="T21" s="24"/>
      <c r="U21" s="25"/>
    </row>
    <row r="22">
      <c r="B22" s="29"/>
      <c r="C22" s="30"/>
      <c r="D22" s="30"/>
      <c r="E22" s="31"/>
      <c r="G22" s="29"/>
      <c r="H22" s="30"/>
      <c r="I22" s="30"/>
      <c r="J22" s="30"/>
      <c r="K22" s="31"/>
      <c r="L22" s="29"/>
      <c r="M22" s="30"/>
      <c r="N22" s="30"/>
      <c r="O22" s="30"/>
      <c r="P22" s="31"/>
      <c r="Q22" s="29"/>
      <c r="R22" s="30"/>
      <c r="S22" s="30"/>
      <c r="T22" s="30"/>
      <c r="U22" s="31"/>
    </row>
    <row r="23">
      <c r="B23" s="23"/>
      <c r="C23" s="24"/>
      <c r="D23" s="24"/>
      <c r="E23" s="25"/>
      <c r="G23" s="23"/>
      <c r="H23" s="24"/>
      <c r="I23" s="24"/>
      <c r="J23" s="24"/>
      <c r="K23" s="25"/>
      <c r="L23" s="23"/>
      <c r="M23" s="24"/>
      <c r="N23" s="24"/>
      <c r="O23" s="24"/>
      <c r="P23" s="25"/>
      <c r="Q23" s="23"/>
      <c r="R23" s="24"/>
      <c r="S23" s="24"/>
      <c r="T23" s="24"/>
      <c r="U23" s="25"/>
    </row>
    <row r="24">
      <c r="B24" s="29"/>
      <c r="C24" s="30"/>
      <c r="D24" s="30"/>
      <c r="E24" s="31"/>
      <c r="G24" s="29"/>
      <c r="H24" s="30"/>
      <c r="I24" s="30"/>
      <c r="J24" s="30"/>
      <c r="K24" s="31"/>
      <c r="L24" s="29"/>
      <c r="M24" s="30"/>
      <c r="N24" s="30"/>
      <c r="O24" s="30"/>
      <c r="P24" s="31"/>
      <c r="Q24" s="29"/>
      <c r="R24" s="30"/>
      <c r="S24" s="30"/>
      <c r="T24" s="30"/>
      <c r="U24" s="31"/>
    </row>
    <row r="25">
      <c r="B25" s="23"/>
      <c r="C25" s="24"/>
      <c r="D25" s="24"/>
      <c r="E25" s="25"/>
      <c r="G25" s="23"/>
      <c r="H25" s="24"/>
      <c r="I25" s="24"/>
      <c r="J25" s="24"/>
      <c r="K25" s="25"/>
      <c r="L25" s="23"/>
      <c r="M25" s="24"/>
      <c r="N25" s="24"/>
      <c r="O25" s="24"/>
      <c r="P25" s="25"/>
      <c r="Q25" s="23"/>
      <c r="R25" s="24"/>
      <c r="S25" s="24"/>
      <c r="T25" s="24"/>
      <c r="U25" s="25"/>
    </row>
    <row r="26">
      <c r="B26" s="29"/>
      <c r="C26" s="30"/>
      <c r="D26" s="30"/>
      <c r="E26" s="31"/>
      <c r="G26" s="29"/>
      <c r="H26" s="30"/>
      <c r="I26" s="30"/>
      <c r="J26" s="30"/>
      <c r="K26" s="31"/>
      <c r="L26" s="29"/>
      <c r="M26" s="30"/>
      <c r="N26" s="30"/>
      <c r="O26" s="30"/>
      <c r="P26" s="31"/>
      <c r="Q26" s="29"/>
      <c r="R26" s="30"/>
      <c r="S26" s="30"/>
      <c r="T26" s="30"/>
      <c r="U26" s="31"/>
    </row>
    <row r="27">
      <c r="B27" s="23"/>
      <c r="C27" s="24"/>
      <c r="D27" s="24"/>
      <c r="E27" s="25"/>
      <c r="G27" s="23"/>
      <c r="H27" s="24"/>
      <c r="I27" s="24"/>
      <c r="J27" s="24"/>
      <c r="K27" s="25"/>
      <c r="L27" s="23"/>
      <c r="M27" s="24"/>
      <c r="N27" s="24"/>
      <c r="O27" s="24"/>
      <c r="P27" s="25"/>
      <c r="Q27" s="23"/>
      <c r="R27" s="24"/>
      <c r="S27" s="24"/>
      <c r="T27" s="24"/>
      <c r="U27" s="25"/>
    </row>
    <row r="28">
      <c r="B28" s="29"/>
      <c r="C28" s="30"/>
      <c r="D28" s="30"/>
      <c r="E28" s="31"/>
      <c r="G28" s="29"/>
      <c r="H28" s="30"/>
      <c r="I28" s="30"/>
      <c r="J28" s="30"/>
      <c r="K28" s="31"/>
      <c r="L28" s="29"/>
      <c r="M28" s="30"/>
      <c r="N28" s="30"/>
      <c r="O28" s="30"/>
      <c r="P28" s="31"/>
      <c r="Q28" s="29"/>
      <c r="R28" s="30"/>
      <c r="S28" s="30"/>
      <c r="T28" s="30"/>
      <c r="U28" s="31"/>
    </row>
    <row r="29">
      <c r="B29" s="23"/>
      <c r="C29" s="24"/>
      <c r="D29" s="24"/>
      <c r="E29" s="25"/>
      <c r="G29" s="23"/>
      <c r="H29" s="24"/>
      <c r="I29" s="24"/>
      <c r="J29" s="24"/>
      <c r="K29" s="25"/>
      <c r="L29" s="23"/>
      <c r="M29" s="24"/>
      <c r="N29" s="24"/>
      <c r="O29" s="24"/>
      <c r="P29" s="25"/>
      <c r="Q29" s="23"/>
      <c r="R29" s="24"/>
      <c r="S29" s="24"/>
      <c r="T29" s="24"/>
      <c r="U29" s="25"/>
    </row>
    <row r="30">
      <c r="B30" s="29"/>
      <c r="C30" s="30"/>
      <c r="D30" s="30"/>
      <c r="E30" s="31"/>
      <c r="G30" s="29"/>
      <c r="H30" s="30"/>
      <c r="I30" s="30"/>
      <c r="J30" s="30"/>
      <c r="K30" s="31"/>
      <c r="L30" s="29"/>
      <c r="M30" s="30"/>
      <c r="N30" s="30"/>
      <c r="O30" s="30"/>
      <c r="P30" s="31"/>
      <c r="Q30" s="29"/>
      <c r="R30" s="30"/>
      <c r="S30" s="30"/>
      <c r="T30" s="30"/>
      <c r="U30" s="31"/>
    </row>
    <row r="31">
      <c r="B31" s="23"/>
      <c r="C31" s="24"/>
      <c r="D31" s="24"/>
      <c r="E31" s="25"/>
      <c r="G31" s="23"/>
      <c r="H31" s="24"/>
      <c r="I31" s="24"/>
      <c r="J31" s="24"/>
      <c r="K31" s="25"/>
      <c r="L31" s="23"/>
      <c r="M31" s="24"/>
      <c r="N31" s="24"/>
      <c r="O31" s="24"/>
      <c r="P31" s="25"/>
      <c r="Q31" s="23"/>
      <c r="R31" s="24"/>
      <c r="S31" s="24"/>
      <c r="T31" s="24"/>
      <c r="U31" s="25"/>
    </row>
    <row r="32">
      <c r="B32" s="29"/>
      <c r="C32" s="30"/>
      <c r="D32" s="30"/>
      <c r="E32" s="31"/>
      <c r="G32" s="29"/>
      <c r="H32" s="30"/>
      <c r="I32" s="30"/>
      <c r="J32" s="30"/>
      <c r="K32" s="31"/>
      <c r="L32" s="29"/>
      <c r="M32" s="30"/>
      <c r="N32" s="30"/>
      <c r="O32" s="30"/>
      <c r="P32" s="31"/>
      <c r="Q32" s="29"/>
      <c r="R32" s="30"/>
      <c r="S32" s="30"/>
      <c r="T32" s="30"/>
      <c r="U32" s="31"/>
    </row>
    <row r="33">
      <c r="B33" s="23"/>
      <c r="C33" s="24"/>
      <c r="D33" s="24"/>
      <c r="E33" s="25"/>
      <c r="G33" s="23"/>
      <c r="H33" s="24"/>
      <c r="I33" s="24"/>
      <c r="J33" s="24"/>
      <c r="K33" s="25"/>
      <c r="L33" s="23"/>
      <c r="M33" s="24"/>
      <c r="N33" s="24"/>
      <c r="O33" s="24"/>
      <c r="P33" s="25"/>
      <c r="Q33" s="23"/>
      <c r="R33" s="24"/>
      <c r="S33" s="24"/>
      <c r="T33" s="24"/>
      <c r="U33" s="25"/>
    </row>
    <row r="34">
      <c r="B34" s="29"/>
      <c r="C34" s="30"/>
      <c r="D34" s="30"/>
      <c r="E34" s="31"/>
      <c r="G34" s="29"/>
      <c r="H34" s="30"/>
      <c r="I34" s="30"/>
      <c r="J34" s="30"/>
      <c r="K34" s="31"/>
      <c r="L34" s="29"/>
      <c r="M34" s="30"/>
      <c r="N34" s="30"/>
      <c r="O34" s="30"/>
      <c r="P34" s="31"/>
      <c r="Q34" s="29"/>
      <c r="R34" s="30"/>
      <c r="S34" s="30"/>
      <c r="T34" s="30"/>
      <c r="U34" s="31"/>
    </row>
    <row r="35">
      <c r="B35" s="23"/>
      <c r="C35" s="24"/>
      <c r="D35" s="24"/>
      <c r="E35" s="25"/>
      <c r="G35" s="23"/>
      <c r="H35" s="24"/>
      <c r="I35" s="24"/>
      <c r="J35" s="24"/>
      <c r="K35" s="25"/>
      <c r="L35" s="23"/>
      <c r="M35" s="24"/>
      <c r="N35" s="24"/>
      <c r="O35" s="24"/>
      <c r="P35" s="25"/>
      <c r="Q35" s="23"/>
      <c r="R35" s="24"/>
      <c r="S35" s="24"/>
      <c r="T35" s="24"/>
      <c r="U35" s="25"/>
    </row>
    <row r="36">
      <c r="B36" s="29"/>
      <c r="C36" s="30"/>
      <c r="D36" s="30"/>
      <c r="E36" s="31"/>
      <c r="G36" s="29"/>
      <c r="H36" s="30"/>
      <c r="I36" s="30"/>
      <c r="J36" s="30"/>
      <c r="K36" s="31"/>
      <c r="L36" s="29"/>
      <c r="M36" s="30"/>
      <c r="N36" s="30"/>
      <c r="O36" s="30"/>
      <c r="P36" s="31"/>
      <c r="Q36" s="29"/>
      <c r="R36" s="30"/>
      <c r="S36" s="30"/>
      <c r="T36" s="30"/>
      <c r="U36" s="31"/>
    </row>
    <row r="37">
      <c r="B37" s="37" t="s">
        <v>48</v>
      </c>
      <c r="C37" s="2"/>
      <c r="D37" s="2"/>
      <c r="E37" s="38">
        <f>SUM(E5:E36)</f>
        <v>745929</v>
      </c>
      <c r="G37" s="39"/>
      <c r="H37" s="40"/>
      <c r="I37" s="40"/>
      <c r="J37" s="41" t="s">
        <v>48</v>
      </c>
      <c r="K37" s="42">
        <f>SUM(K5,K5:K36)</f>
        <v>560336</v>
      </c>
      <c r="L37" s="43"/>
      <c r="M37" s="44"/>
      <c r="N37" s="44"/>
      <c r="O37" s="45" t="s">
        <v>48</v>
      </c>
      <c r="P37" s="42">
        <f>SUM(P5,P5:P36)</f>
        <v>695592</v>
      </c>
      <c r="Q37" s="46"/>
      <c r="R37" s="47"/>
      <c r="S37" s="47"/>
      <c r="T37" s="37" t="s">
        <v>48</v>
      </c>
      <c r="U37" s="42">
        <f>SUM(U5,U5:U36)</f>
        <v>0</v>
      </c>
    </row>
    <row r="38">
      <c r="B38" s="48"/>
      <c r="G38" s="48" t="s">
        <v>49</v>
      </c>
      <c r="U38" s="49">
        <f>SUM(K37,P37,U37)</f>
        <v>1255928</v>
      </c>
    </row>
    <row r="41">
      <c r="T41" s="50" t="s">
        <v>1</v>
      </c>
      <c r="U41" s="51">
        <f>SUM(U38)</f>
        <v>1255928</v>
      </c>
    </row>
    <row r="42">
      <c r="T42" s="52" t="s">
        <v>0</v>
      </c>
      <c r="U42" s="53">
        <f>E37</f>
        <v>745929</v>
      </c>
    </row>
    <row r="43">
      <c r="T43" s="54" t="s">
        <v>50</v>
      </c>
      <c r="U43" s="49">
        <f>SUM(U41-U42)</f>
        <v>509999</v>
      </c>
    </row>
  </sheetData>
  <mergeCells count="9">
    <mergeCell ref="B38:E38"/>
    <mergeCell ref="G38:T38"/>
    <mergeCell ref="B2:E2"/>
    <mergeCell ref="G2:U2"/>
    <mergeCell ref="B3:E3"/>
    <mergeCell ref="G3:K3"/>
    <mergeCell ref="L3:P3"/>
    <mergeCell ref="Q3:U3"/>
    <mergeCell ref="B37:D3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32.63"/>
    <col customWidth="1" min="4" max="4" width="14.5"/>
    <col customWidth="1" min="5" max="5" width="11.25"/>
    <col customWidth="1" min="6" max="6" width="3.75"/>
    <col customWidth="1" min="7" max="7" width="15.0"/>
    <col customWidth="1" min="8" max="8" width="16.88"/>
    <col customWidth="1" min="9" max="9" width="20.0"/>
    <col customWidth="1" min="10" max="10" width="17.63"/>
    <col customWidth="1" min="13" max="13" width="18.25"/>
    <col customWidth="1" min="14" max="14" width="21.13"/>
    <col customWidth="1" min="15" max="15" width="17.88"/>
    <col customWidth="1" min="18" max="18" width="14.5"/>
    <col customWidth="1" min="19" max="19" width="17.63"/>
    <col customWidth="1" min="20" max="20" width="18.13"/>
  </cols>
  <sheetData>
    <row r="2">
      <c r="B2" s="1" t="s">
        <v>0</v>
      </c>
      <c r="C2" s="2"/>
      <c r="D2" s="2"/>
      <c r="E2" s="3"/>
      <c r="G2" s="1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>
      <c r="B3" s="4" t="s">
        <v>2</v>
      </c>
      <c r="C3" s="5"/>
      <c r="D3" s="5"/>
      <c r="E3" s="6"/>
      <c r="G3" s="7" t="s">
        <v>3</v>
      </c>
      <c r="H3" s="5"/>
      <c r="I3" s="5"/>
      <c r="J3" s="5"/>
      <c r="K3" s="6"/>
      <c r="L3" s="8" t="s">
        <v>4</v>
      </c>
      <c r="M3" s="5"/>
      <c r="N3" s="5"/>
      <c r="O3" s="5"/>
      <c r="P3" s="6"/>
      <c r="Q3" s="4" t="s">
        <v>2</v>
      </c>
      <c r="R3" s="5"/>
      <c r="S3" s="5"/>
      <c r="T3" s="5"/>
      <c r="U3" s="6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2"/>
      <c r="G4" s="13" t="s">
        <v>9</v>
      </c>
      <c r="H4" s="14" t="s">
        <v>10</v>
      </c>
      <c r="I4" s="15" t="s">
        <v>11</v>
      </c>
      <c r="J4" s="14" t="s">
        <v>12</v>
      </c>
      <c r="K4" s="16" t="s">
        <v>8</v>
      </c>
      <c r="L4" s="17" t="s">
        <v>9</v>
      </c>
      <c r="M4" s="18" t="s">
        <v>10</v>
      </c>
      <c r="N4" s="18" t="s">
        <v>11</v>
      </c>
      <c r="O4" s="18" t="s">
        <v>12</v>
      </c>
      <c r="P4" s="19" t="s">
        <v>8</v>
      </c>
      <c r="Q4" s="9" t="s">
        <v>9</v>
      </c>
      <c r="R4" s="10" t="s">
        <v>13</v>
      </c>
      <c r="S4" s="10" t="s">
        <v>11</v>
      </c>
      <c r="T4" s="10" t="s">
        <v>12</v>
      </c>
      <c r="U4" s="11" t="s">
        <v>8</v>
      </c>
    </row>
    <row r="5">
      <c r="B5" s="20">
        <v>45752.0</v>
      </c>
      <c r="C5" s="21" t="s">
        <v>46</v>
      </c>
      <c r="D5" s="21" t="s">
        <v>15</v>
      </c>
      <c r="E5" s="22">
        <v>23000.0</v>
      </c>
      <c r="F5" s="12"/>
      <c r="G5" s="20">
        <v>45758.0</v>
      </c>
      <c r="H5" s="21" t="s">
        <v>98</v>
      </c>
      <c r="I5" s="21" t="s">
        <v>17</v>
      </c>
      <c r="J5" s="21" t="s">
        <v>18</v>
      </c>
      <c r="K5" s="22">
        <v>96610.0</v>
      </c>
      <c r="L5" s="20">
        <v>45749.0</v>
      </c>
      <c r="M5" s="21" t="s">
        <v>99</v>
      </c>
      <c r="N5" s="21" t="s">
        <v>17</v>
      </c>
      <c r="O5" s="21" t="s">
        <v>18</v>
      </c>
      <c r="P5" s="22">
        <v>67626.0</v>
      </c>
      <c r="Q5" s="23"/>
      <c r="R5" s="24"/>
      <c r="S5" s="24"/>
      <c r="T5" s="24"/>
      <c r="U5" s="25"/>
    </row>
    <row r="6">
      <c r="B6" s="26">
        <v>45752.0</v>
      </c>
      <c r="C6" s="27" t="s">
        <v>100</v>
      </c>
      <c r="D6" s="27" t="s">
        <v>15</v>
      </c>
      <c r="E6" s="28">
        <v>410.0</v>
      </c>
      <c r="F6" s="12"/>
      <c r="G6" s="26">
        <v>45759.0</v>
      </c>
      <c r="H6" s="27" t="s">
        <v>60</v>
      </c>
      <c r="I6" s="27" t="s">
        <v>17</v>
      </c>
      <c r="J6" s="27" t="s">
        <v>18</v>
      </c>
      <c r="K6" s="28">
        <v>96610.0</v>
      </c>
      <c r="L6" s="26">
        <v>45752.0</v>
      </c>
      <c r="M6" s="27" t="s">
        <v>101</v>
      </c>
      <c r="N6" s="27" t="s">
        <v>17</v>
      </c>
      <c r="O6" s="27" t="s">
        <v>18</v>
      </c>
      <c r="P6" s="28">
        <v>96610.0</v>
      </c>
      <c r="Q6" s="29"/>
      <c r="R6" s="30"/>
      <c r="S6" s="30"/>
      <c r="T6" s="30"/>
      <c r="U6" s="31"/>
    </row>
    <row r="7">
      <c r="B7" s="20">
        <v>45755.0</v>
      </c>
      <c r="C7" s="21" t="s">
        <v>102</v>
      </c>
      <c r="D7" s="21" t="s">
        <v>15</v>
      </c>
      <c r="E7" s="22">
        <v>88045.0</v>
      </c>
      <c r="F7" s="12"/>
      <c r="G7" s="20">
        <v>45764.0</v>
      </c>
      <c r="H7" s="21" t="s">
        <v>62</v>
      </c>
      <c r="I7" s="21" t="s">
        <v>17</v>
      </c>
      <c r="J7" s="21" t="s">
        <v>18</v>
      </c>
      <c r="K7" s="22">
        <v>96610.0</v>
      </c>
      <c r="L7" s="20">
        <v>45758.0</v>
      </c>
      <c r="M7" s="21" t="s">
        <v>103</v>
      </c>
      <c r="N7" s="21" t="s">
        <v>17</v>
      </c>
      <c r="O7" s="21" t="s">
        <v>18</v>
      </c>
      <c r="P7" s="22">
        <v>96607.0</v>
      </c>
      <c r="Q7" s="23"/>
      <c r="R7" s="24"/>
      <c r="S7" s="24"/>
      <c r="T7" s="24"/>
      <c r="U7" s="25"/>
    </row>
    <row r="8">
      <c r="B8" s="26">
        <v>45749.0</v>
      </c>
      <c r="C8" s="27" t="s">
        <v>59</v>
      </c>
      <c r="D8" s="27" t="s">
        <v>15</v>
      </c>
      <c r="E8" s="28">
        <v>2048.0</v>
      </c>
      <c r="F8" s="12"/>
      <c r="G8" s="26">
        <v>45765.0</v>
      </c>
      <c r="H8" s="27" t="s">
        <v>104</v>
      </c>
      <c r="I8" s="27" t="s">
        <v>17</v>
      </c>
      <c r="J8" s="27" t="s">
        <v>18</v>
      </c>
      <c r="K8" s="28">
        <v>96610.0</v>
      </c>
      <c r="L8" s="26">
        <v>45759.0</v>
      </c>
      <c r="M8" s="27" t="s">
        <v>105</v>
      </c>
      <c r="N8" s="27" t="s">
        <v>17</v>
      </c>
      <c r="O8" s="27" t="s">
        <v>18</v>
      </c>
      <c r="P8" s="28">
        <v>96610.0</v>
      </c>
      <c r="Q8" s="29"/>
      <c r="R8" s="30"/>
      <c r="S8" s="30"/>
      <c r="T8" s="30"/>
      <c r="U8" s="31"/>
    </row>
    <row r="9">
      <c r="B9" s="20">
        <v>45749.0</v>
      </c>
      <c r="C9" s="21" t="s">
        <v>56</v>
      </c>
      <c r="D9" s="21" t="s">
        <v>15</v>
      </c>
      <c r="E9" s="22">
        <v>18773.0</v>
      </c>
      <c r="F9" s="12"/>
      <c r="G9" s="20">
        <v>45766.0</v>
      </c>
      <c r="H9" s="21" t="s">
        <v>106</v>
      </c>
      <c r="I9" s="21" t="s">
        <v>17</v>
      </c>
      <c r="J9" s="21" t="s">
        <v>18</v>
      </c>
      <c r="K9" s="22">
        <v>96610.0</v>
      </c>
      <c r="L9" s="20">
        <v>45761.0</v>
      </c>
      <c r="M9" s="21" t="s">
        <v>107</v>
      </c>
      <c r="N9" s="21" t="s">
        <v>17</v>
      </c>
      <c r="O9" s="21" t="s">
        <v>18</v>
      </c>
      <c r="P9" s="22">
        <v>86949.0</v>
      </c>
      <c r="Q9" s="23"/>
      <c r="R9" s="24"/>
      <c r="S9" s="24"/>
      <c r="T9" s="24"/>
      <c r="U9" s="25"/>
    </row>
    <row r="10">
      <c r="B10" s="26">
        <v>45749.0</v>
      </c>
      <c r="C10" s="27" t="s">
        <v>73</v>
      </c>
      <c r="D10" s="27" t="s">
        <v>15</v>
      </c>
      <c r="E10" s="28">
        <v>105089.0</v>
      </c>
      <c r="F10" s="12"/>
      <c r="G10" s="26">
        <v>45759.0</v>
      </c>
      <c r="H10" s="27" t="s">
        <v>108</v>
      </c>
      <c r="I10" s="27" t="s">
        <v>17</v>
      </c>
      <c r="J10" s="27" t="s">
        <v>18</v>
      </c>
      <c r="K10" s="28">
        <v>77288.0</v>
      </c>
      <c r="L10" s="26">
        <v>45763.0</v>
      </c>
      <c r="M10" s="27" t="s">
        <v>109</v>
      </c>
      <c r="N10" s="27" t="s">
        <v>17</v>
      </c>
      <c r="O10" s="27" t="s">
        <v>18</v>
      </c>
      <c r="P10" s="28">
        <v>86949.0</v>
      </c>
      <c r="Q10" s="29"/>
      <c r="R10" s="30"/>
      <c r="S10" s="30"/>
      <c r="T10" s="30"/>
      <c r="U10" s="31"/>
    </row>
    <row r="11">
      <c r="B11" s="20">
        <v>45762.0</v>
      </c>
      <c r="C11" s="21" t="s">
        <v>102</v>
      </c>
      <c r="D11" s="21" t="s">
        <v>15</v>
      </c>
      <c r="E11" s="22">
        <v>42170.0</v>
      </c>
      <c r="F11" s="12"/>
      <c r="G11" s="20">
        <v>45764.0</v>
      </c>
      <c r="H11" s="21" t="s">
        <v>110</v>
      </c>
      <c r="I11" s="21" t="s">
        <v>17</v>
      </c>
      <c r="J11" s="21" t="s">
        <v>18</v>
      </c>
      <c r="K11" s="22">
        <v>57968.0</v>
      </c>
      <c r="L11" s="20">
        <v>45765.0</v>
      </c>
      <c r="M11" s="21" t="s">
        <v>111</v>
      </c>
      <c r="N11" s="21" t="s">
        <v>17</v>
      </c>
      <c r="O11" s="21" t="s">
        <v>18</v>
      </c>
      <c r="P11" s="22">
        <v>96610.0</v>
      </c>
      <c r="Q11" s="23"/>
      <c r="R11" s="24"/>
      <c r="S11" s="24"/>
      <c r="T11" s="24"/>
      <c r="U11" s="25"/>
    </row>
    <row r="12">
      <c r="B12" s="26">
        <v>45762.0</v>
      </c>
      <c r="C12" s="27" t="s">
        <v>112</v>
      </c>
      <c r="D12" s="27" t="s">
        <v>15</v>
      </c>
      <c r="E12" s="28">
        <v>37000.0</v>
      </c>
      <c r="F12" s="12"/>
      <c r="G12" s="26"/>
      <c r="H12" s="30"/>
      <c r="I12" s="27"/>
      <c r="J12" s="27"/>
      <c r="K12" s="28"/>
      <c r="L12" s="26">
        <v>45766.0</v>
      </c>
      <c r="M12" s="27" t="s">
        <v>113</v>
      </c>
      <c r="N12" s="27" t="s">
        <v>17</v>
      </c>
      <c r="O12" s="27" t="s">
        <v>18</v>
      </c>
      <c r="P12" s="28">
        <v>96610.0</v>
      </c>
      <c r="Q12" s="29"/>
      <c r="R12" s="30"/>
      <c r="S12" s="30"/>
      <c r="T12" s="30"/>
      <c r="U12" s="31"/>
    </row>
    <row r="13">
      <c r="B13" s="20">
        <v>45753.0</v>
      </c>
      <c r="C13" s="21" t="s">
        <v>92</v>
      </c>
      <c r="D13" s="21" t="s">
        <v>15</v>
      </c>
      <c r="E13" s="22">
        <v>75000.0</v>
      </c>
      <c r="F13" s="12"/>
      <c r="G13" s="20"/>
      <c r="H13" s="24"/>
      <c r="I13" s="21"/>
      <c r="J13" s="21"/>
      <c r="K13" s="56"/>
      <c r="L13" s="20">
        <v>45767.0</v>
      </c>
      <c r="M13" s="21" t="s">
        <v>114</v>
      </c>
      <c r="N13" s="21" t="s">
        <v>17</v>
      </c>
      <c r="O13" s="21" t="s">
        <v>18</v>
      </c>
      <c r="P13" s="22">
        <v>96608.0</v>
      </c>
      <c r="Q13" s="23"/>
      <c r="R13" s="24"/>
      <c r="S13" s="24"/>
      <c r="T13" s="24"/>
      <c r="U13" s="25"/>
    </row>
    <row r="14">
      <c r="B14" s="26">
        <v>45752.0</v>
      </c>
      <c r="C14" s="27" t="s">
        <v>95</v>
      </c>
      <c r="D14" s="27" t="s">
        <v>15</v>
      </c>
      <c r="E14" s="28">
        <v>17580.0</v>
      </c>
      <c r="G14" s="26"/>
      <c r="H14" s="30"/>
      <c r="I14" s="30"/>
      <c r="J14" s="30"/>
      <c r="K14" s="31"/>
      <c r="L14" s="26">
        <v>45768.0</v>
      </c>
      <c r="M14" s="27" t="s">
        <v>115</v>
      </c>
      <c r="N14" s="27" t="s">
        <v>17</v>
      </c>
      <c r="O14" s="27" t="s">
        <v>18</v>
      </c>
      <c r="P14" s="28">
        <v>86949.0</v>
      </c>
      <c r="Q14" s="29"/>
      <c r="R14" s="30"/>
      <c r="S14" s="30"/>
      <c r="T14" s="30"/>
      <c r="U14" s="31"/>
    </row>
    <row r="15">
      <c r="B15" s="20">
        <v>45749.0</v>
      </c>
      <c r="C15" s="21" t="s">
        <v>93</v>
      </c>
      <c r="D15" s="21" t="s">
        <v>15</v>
      </c>
      <c r="E15" s="22">
        <v>37111.0</v>
      </c>
      <c r="G15" s="20"/>
      <c r="H15" s="24"/>
      <c r="I15" s="24"/>
      <c r="J15" s="24"/>
      <c r="K15" s="25"/>
      <c r="L15" s="20">
        <v>45772.0</v>
      </c>
      <c r="M15" s="21" t="s">
        <v>116</v>
      </c>
      <c r="N15" s="21" t="s">
        <v>17</v>
      </c>
      <c r="O15" s="21" t="s">
        <v>18</v>
      </c>
      <c r="P15" s="22">
        <v>96607.0</v>
      </c>
      <c r="Q15" s="23"/>
      <c r="R15" s="24"/>
      <c r="S15" s="24"/>
      <c r="T15" s="24"/>
      <c r="U15" s="25"/>
    </row>
    <row r="16">
      <c r="B16" s="26">
        <v>45769.0</v>
      </c>
      <c r="C16" s="27" t="s">
        <v>117</v>
      </c>
      <c r="D16" s="27" t="s">
        <v>15</v>
      </c>
      <c r="E16" s="28">
        <v>75000.0</v>
      </c>
      <c r="G16" s="29"/>
      <c r="H16" s="30"/>
      <c r="I16" s="30"/>
      <c r="J16" s="30"/>
      <c r="K16" s="31"/>
      <c r="L16" s="26">
        <v>45773.0</v>
      </c>
      <c r="M16" s="27" t="s">
        <v>118</v>
      </c>
      <c r="N16" s="27" t="s">
        <v>17</v>
      </c>
      <c r="O16" s="27" t="s">
        <v>18</v>
      </c>
      <c r="P16" s="28">
        <v>96607.0</v>
      </c>
      <c r="Q16" s="29"/>
      <c r="R16" s="30"/>
      <c r="S16" s="30"/>
      <c r="T16" s="30"/>
      <c r="U16" s="31"/>
    </row>
    <row r="17">
      <c r="B17" s="36">
        <v>45769.0</v>
      </c>
      <c r="C17" s="21" t="s">
        <v>119</v>
      </c>
      <c r="D17" s="21" t="s">
        <v>15</v>
      </c>
      <c r="E17" s="22">
        <v>15000.0</v>
      </c>
      <c r="G17" s="23"/>
      <c r="H17" s="24"/>
      <c r="I17" s="24"/>
      <c r="J17" s="24"/>
      <c r="K17" s="25"/>
      <c r="L17" s="23"/>
      <c r="M17" s="24"/>
      <c r="N17" s="24"/>
      <c r="O17" s="24"/>
      <c r="P17" s="25"/>
      <c r="Q17" s="23"/>
      <c r="R17" s="24"/>
      <c r="S17" s="24"/>
      <c r="T17" s="24"/>
      <c r="U17" s="25"/>
    </row>
    <row r="18">
      <c r="B18" s="26">
        <v>45777.0</v>
      </c>
      <c r="C18" s="27" t="s">
        <v>120</v>
      </c>
      <c r="D18" s="27" t="s">
        <v>15</v>
      </c>
      <c r="E18" s="28">
        <v>90000.0</v>
      </c>
      <c r="G18" s="29"/>
      <c r="H18" s="30"/>
      <c r="I18" s="30"/>
      <c r="J18" s="30"/>
      <c r="K18" s="31"/>
      <c r="L18" s="29"/>
      <c r="M18" s="30"/>
      <c r="N18" s="30"/>
      <c r="O18" s="30"/>
      <c r="P18" s="31"/>
      <c r="Q18" s="29"/>
      <c r="R18" s="30"/>
      <c r="S18" s="30"/>
      <c r="T18" s="30"/>
      <c r="U18" s="31"/>
    </row>
    <row r="19">
      <c r="B19" s="36">
        <v>45776.0</v>
      </c>
      <c r="C19" s="21" t="s">
        <v>121</v>
      </c>
      <c r="D19" s="21" t="s">
        <v>15</v>
      </c>
      <c r="E19" s="22">
        <v>99450.0</v>
      </c>
      <c r="G19" s="23"/>
      <c r="H19" s="24"/>
      <c r="I19" s="24"/>
      <c r="J19" s="24"/>
      <c r="K19" s="25"/>
      <c r="L19" s="23"/>
      <c r="M19" s="24"/>
      <c r="N19" s="24"/>
      <c r="O19" s="24"/>
      <c r="P19" s="25"/>
      <c r="Q19" s="23"/>
      <c r="R19" s="24"/>
      <c r="S19" s="24"/>
      <c r="T19" s="24"/>
      <c r="U19" s="25"/>
    </row>
    <row r="20">
      <c r="B20" s="26">
        <v>45775.0</v>
      </c>
      <c r="C20" s="27" t="s">
        <v>122</v>
      </c>
      <c r="D20" s="27" t="s">
        <v>15</v>
      </c>
      <c r="E20" s="28">
        <v>5810.0</v>
      </c>
      <c r="G20" s="29"/>
      <c r="H20" s="30"/>
      <c r="I20" s="30"/>
      <c r="J20" s="30"/>
      <c r="K20" s="31"/>
      <c r="L20" s="29"/>
      <c r="M20" s="30"/>
      <c r="N20" s="30"/>
      <c r="O20" s="30"/>
      <c r="P20" s="31"/>
      <c r="Q20" s="29"/>
      <c r="R20" s="30"/>
      <c r="S20" s="30"/>
      <c r="T20" s="30"/>
      <c r="U20" s="31"/>
    </row>
    <row r="21">
      <c r="B21" s="36">
        <v>45771.0</v>
      </c>
      <c r="C21" s="21" t="s">
        <v>123</v>
      </c>
      <c r="D21" s="21" t="s">
        <v>15</v>
      </c>
      <c r="E21" s="22">
        <v>30000.0</v>
      </c>
      <c r="G21" s="23"/>
      <c r="H21" s="24"/>
      <c r="I21" s="24"/>
      <c r="J21" s="24"/>
      <c r="K21" s="25"/>
      <c r="L21" s="23"/>
      <c r="M21" s="24"/>
      <c r="N21" s="24"/>
      <c r="O21" s="24"/>
      <c r="P21" s="25"/>
      <c r="Q21" s="23"/>
      <c r="R21" s="24"/>
      <c r="S21" s="24"/>
      <c r="T21" s="24"/>
      <c r="U21" s="25"/>
    </row>
    <row r="22">
      <c r="B22" s="26">
        <v>45772.0</v>
      </c>
      <c r="C22" s="27" t="s">
        <v>123</v>
      </c>
      <c r="D22" s="27" t="s">
        <v>15</v>
      </c>
      <c r="E22" s="28" t="s">
        <v>124</v>
      </c>
      <c r="G22" s="29"/>
      <c r="H22" s="30"/>
      <c r="I22" s="30"/>
      <c r="J22" s="30"/>
      <c r="K22" s="31"/>
      <c r="L22" s="29"/>
      <c r="M22" s="30"/>
      <c r="N22" s="30"/>
      <c r="O22" s="30"/>
      <c r="P22" s="31"/>
      <c r="Q22" s="29"/>
      <c r="R22" s="30"/>
      <c r="S22" s="30"/>
      <c r="T22" s="30"/>
      <c r="U22" s="31"/>
    </row>
    <row r="23">
      <c r="B23" s="36">
        <v>45776.0</v>
      </c>
      <c r="C23" s="21" t="s">
        <v>123</v>
      </c>
      <c r="D23" s="21" t="s">
        <v>15</v>
      </c>
      <c r="E23" s="22">
        <v>30000.0</v>
      </c>
      <c r="G23" s="23"/>
      <c r="H23" s="24"/>
      <c r="I23" s="24"/>
      <c r="J23" s="24"/>
      <c r="K23" s="25"/>
      <c r="L23" s="23"/>
      <c r="M23" s="24"/>
      <c r="N23" s="24"/>
      <c r="O23" s="24"/>
      <c r="P23" s="25"/>
      <c r="Q23" s="23"/>
      <c r="R23" s="24"/>
      <c r="S23" s="24"/>
      <c r="T23" s="24"/>
      <c r="U23" s="25"/>
    </row>
    <row r="24">
      <c r="B24" s="29"/>
      <c r="C24" s="30"/>
      <c r="D24" s="30"/>
      <c r="E24" s="31"/>
      <c r="G24" s="29"/>
      <c r="H24" s="30"/>
      <c r="I24" s="30"/>
      <c r="J24" s="30"/>
      <c r="K24" s="31"/>
      <c r="L24" s="29"/>
      <c r="M24" s="30"/>
      <c r="N24" s="30"/>
      <c r="O24" s="30"/>
      <c r="P24" s="31"/>
      <c r="Q24" s="29"/>
      <c r="R24" s="30"/>
      <c r="S24" s="30"/>
      <c r="T24" s="30"/>
      <c r="U24" s="31"/>
    </row>
    <row r="25">
      <c r="B25" s="23"/>
      <c r="C25" s="24"/>
      <c r="D25" s="24"/>
      <c r="E25" s="25"/>
      <c r="G25" s="23"/>
      <c r="H25" s="24"/>
      <c r="I25" s="24"/>
      <c r="J25" s="21" t="s">
        <v>125</v>
      </c>
      <c r="K25" s="25"/>
      <c r="L25" s="23"/>
      <c r="M25" s="24"/>
      <c r="N25" s="24"/>
      <c r="O25" s="24"/>
      <c r="P25" s="25"/>
      <c r="Q25" s="23"/>
      <c r="R25" s="24"/>
      <c r="S25" s="24"/>
      <c r="T25" s="24"/>
      <c r="U25" s="25"/>
    </row>
    <row r="26">
      <c r="B26" s="29"/>
      <c r="C26" s="30"/>
      <c r="D26" s="30"/>
      <c r="E26" s="31"/>
      <c r="G26" s="29"/>
      <c r="H26" s="30"/>
      <c r="I26" s="30"/>
      <c r="J26" s="30"/>
      <c r="K26" s="31"/>
      <c r="L26" s="29"/>
      <c r="M26" s="30"/>
      <c r="N26" s="30"/>
      <c r="O26" s="30"/>
      <c r="P26" s="31"/>
      <c r="Q26" s="29"/>
      <c r="R26" s="30"/>
      <c r="S26" s="30"/>
      <c r="T26" s="30"/>
      <c r="U26" s="31"/>
    </row>
    <row r="27">
      <c r="B27" s="23"/>
      <c r="C27" s="24"/>
      <c r="D27" s="24"/>
      <c r="E27" s="25"/>
      <c r="G27" s="23"/>
      <c r="H27" s="24"/>
      <c r="I27" s="24"/>
      <c r="J27" s="24"/>
      <c r="K27" s="25"/>
      <c r="L27" s="23"/>
      <c r="M27" s="24"/>
      <c r="N27" s="24"/>
      <c r="O27" s="24"/>
      <c r="P27" s="25"/>
      <c r="Q27" s="23"/>
      <c r="R27" s="24"/>
      <c r="S27" s="24"/>
      <c r="T27" s="24"/>
      <c r="U27" s="25"/>
    </row>
    <row r="28">
      <c r="B28" s="29"/>
      <c r="C28" s="30"/>
      <c r="D28" s="30"/>
      <c r="E28" s="31"/>
      <c r="G28" s="29"/>
      <c r="H28" s="30"/>
      <c r="I28" s="30"/>
      <c r="J28" s="30"/>
      <c r="K28" s="31"/>
      <c r="L28" s="29"/>
      <c r="M28" s="30"/>
      <c r="N28" s="30"/>
      <c r="O28" s="30"/>
      <c r="P28" s="31"/>
      <c r="Q28" s="29"/>
      <c r="R28" s="30"/>
      <c r="S28" s="30"/>
      <c r="T28" s="30"/>
      <c r="U28" s="31"/>
    </row>
    <row r="29">
      <c r="B29" s="23"/>
      <c r="C29" s="24"/>
      <c r="D29" s="24"/>
      <c r="E29" s="25"/>
      <c r="G29" s="23"/>
      <c r="H29" s="24"/>
      <c r="I29" s="24"/>
      <c r="J29" s="24"/>
      <c r="K29" s="25"/>
      <c r="L29" s="23"/>
      <c r="M29" s="24"/>
      <c r="N29" s="24"/>
      <c r="O29" s="24"/>
      <c r="P29" s="25"/>
      <c r="Q29" s="23"/>
      <c r="R29" s="24"/>
      <c r="S29" s="24"/>
      <c r="T29" s="24"/>
      <c r="U29" s="25"/>
    </row>
    <row r="30">
      <c r="B30" s="29"/>
      <c r="C30" s="30"/>
      <c r="D30" s="30"/>
      <c r="E30" s="31"/>
      <c r="G30" s="29"/>
      <c r="H30" s="30"/>
      <c r="I30" s="30"/>
      <c r="J30" s="30"/>
      <c r="K30" s="31"/>
      <c r="L30" s="29"/>
      <c r="M30" s="30"/>
      <c r="N30" s="30"/>
      <c r="O30" s="30"/>
      <c r="P30" s="31"/>
      <c r="Q30" s="29"/>
      <c r="R30" s="30"/>
      <c r="S30" s="30"/>
      <c r="T30" s="30"/>
      <c r="U30" s="31"/>
    </row>
    <row r="31">
      <c r="B31" s="23"/>
      <c r="C31" s="24"/>
      <c r="D31" s="24"/>
      <c r="E31" s="25"/>
      <c r="G31" s="23"/>
      <c r="H31" s="24"/>
      <c r="I31" s="24"/>
      <c r="J31" s="24"/>
      <c r="K31" s="25"/>
      <c r="L31" s="23"/>
      <c r="M31" s="24"/>
      <c r="N31" s="24"/>
      <c r="O31" s="24"/>
      <c r="P31" s="25"/>
      <c r="Q31" s="23"/>
      <c r="R31" s="24"/>
      <c r="S31" s="24"/>
      <c r="T31" s="24"/>
      <c r="U31" s="25"/>
    </row>
    <row r="32">
      <c r="B32" s="29"/>
      <c r="C32" s="30"/>
      <c r="D32" s="30"/>
      <c r="E32" s="31"/>
      <c r="G32" s="29"/>
      <c r="H32" s="30"/>
      <c r="I32" s="30"/>
      <c r="J32" s="30"/>
      <c r="K32" s="31"/>
      <c r="L32" s="57" t="s">
        <v>126</v>
      </c>
      <c r="M32" s="30"/>
      <c r="N32" s="30"/>
      <c r="O32" s="30"/>
      <c r="P32" s="31"/>
      <c r="Q32" s="29"/>
      <c r="R32" s="30"/>
      <c r="S32" s="30"/>
      <c r="T32" s="30"/>
      <c r="U32" s="31"/>
    </row>
    <row r="33">
      <c r="B33" s="23"/>
      <c r="C33" s="24"/>
      <c r="D33" s="24"/>
      <c r="E33" s="25"/>
      <c r="G33" s="23"/>
      <c r="H33" s="24"/>
      <c r="I33" s="24"/>
      <c r="J33" s="24"/>
      <c r="K33" s="25"/>
      <c r="L33" s="23"/>
      <c r="M33" s="24"/>
      <c r="N33" s="24"/>
      <c r="O33" s="24"/>
      <c r="P33" s="25"/>
      <c r="Q33" s="23"/>
      <c r="R33" s="24"/>
      <c r="S33" s="24"/>
      <c r="T33" s="24"/>
      <c r="U33" s="25"/>
    </row>
    <row r="34">
      <c r="B34" s="29"/>
      <c r="C34" s="30"/>
      <c r="D34" s="30"/>
      <c r="E34" s="31"/>
      <c r="G34" s="29"/>
      <c r="H34" s="30"/>
      <c r="I34" s="30"/>
      <c r="J34" s="30"/>
      <c r="K34" s="31"/>
      <c r="L34" s="29"/>
      <c r="M34" s="30"/>
      <c r="N34" s="30"/>
      <c r="O34" s="30"/>
      <c r="P34" s="31"/>
      <c r="Q34" s="29"/>
      <c r="R34" s="30"/>
      <c r="S34" s="30"/>
      <c r="T34" s="30"/>
      <c r="U34" s="31"/>
    </row>
    <row r="35">
      <c r="B35" s="23"/>
      <c r="C35" s="24"/>
      <c r="D35" s="24"/>
      <c r="E35" s="25"/>
      <c r="G35" s="23"/>
      <c r="H35" s="24"/>
      <c r="I35" s="24"/>
      <c r="J35" s="24"/>
      <c r="K35" s="25"/>
      <c r="L35" s="23"/>
      <c r="M35" s="24"/>
      <c r="N35" s="24"/>
      <c r="O35" s="24"/>
      <c r="P35" s="25"/>
      <c r="Q35" s="23"/>
      <c r="R35" s="24"/>
      <c r="S35" s="24"/>
      <c r="T35" s="24"/>
      <c r="U35" s="25"/>
    </row>
    <row r="36">
      <c r="B36" s="29"/>
      <c r="C36" s="30"/>
      <c r="D36" s="30"/>
      <c r="E36" s="31"/>
      <c r="G36" s="29"/>
      <c r="H36" s="30"/>
      <c r="I36" s="30"/>
      <c r="J36" s="30"/>
      <c r="K36" s="31"/>
      <c r="L36" s="29"/>
      <c r="M36" s="30"/>
      <c r="N36" s="30"/>
      <c r="O36" s="30"/>
      <c r="P36" s="31"/>
      <c r="Q36" s="29"/>
      <c r="R36" s="30"/>
      <c r="S36" s="30"/>
      <c r="T36" s="30"/>
      <c r="U36" s="31"/>
    </row>
    <row r="37">
      <c r="B37" s="37" t="s">
        <v>48</v>
      </c>
      <c r="C37" s="2"/>
      <c r="D37" s="2"/>
      <c r="E37" s="38">
        <f>SUM(E5:E36)</f>
        <v>791486</v>
      </c>
      <c r="G37" s="39"/>
      <c r="H37" s="40"/>
      <c r="I37" s="40"/>
      <c r="J37" s="41" t="s">
        <v>48</v>
      </c>
      <c r="K37" s="42">
        <f>SUM(K5:K36)</f>
        <v>618306</v>
      </c>
      <c r="L37" s="43"/>
      <c r="M37" s="44"/>
      <c r="N37" s="44"/>
      <c r="O37" s="45" t="s">
        <v>48</v>
      </c>
      <c r="P37" s="42">
        <f>SUM(P5:P36)</f>
        <v>1101342</v>
      </c>
      <c r="Q37" s="46"/>
      <c r="R37" s="47"/>
      <c r="S37" s="47"/>
      <c r="T37" s="37" t="s">
        <v>48</v>
      </c>
      <c r="U37" s="42">
        <f>SUM(U5,U5:U36)</f>
        <v>0</v>
      </c>
    </row>
    <row r="38">
      <c r="B38" s="48"/>
      <c r="G38" s="48" t="s">
        <v>49</v>
      </c>
      <c r="U38" s="49">
        <f>SUM(K37,P37,U37)</f>
        <v>1719648</v>
      </c>
    </row>
    <row r="41">
      <c r="T41" s="50" t="s">
        <v>1</v>
      </c>
      <c r="U41" s="51">
        <f>SUM(U38)</f>
        <v>1719648</v>
      </c>
    </row>
    <row r="42">
      <c r="T42" s="52" t="s">
        <v>0</v>
      </c>
      <c r="U42" s="53">
        <f>E37</f>
        <v>791486</v>
      </c>
    </row>
    <row r="43">
      <c r="T43" s="54" t="s">
        <v>50</v>
      </c>
      <c r="U43" s="49">
        <f>SUM(U41-U42)</f>
        <v>928162</v>
      </c>
    </row>
  </sheetData>
  <mergeCells count="9">
    <mergeCell ref="B38:E38"/>
    <mergeCell ref="G38:T38"/>
    <mergeCell ref="B2:E2"/>
    <mergeCell ref="G2:U2"/>
    <mergeCell ref="B3:E3"/>
    <mergeCell ref="G3:K3"/>
    <mergeCell ref="L3:P3"/>
    <mergeCell ref="Q3:U3"/>
    <mergeCell ref="B37:D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32.63"/>
    <col customWidth="1" min="4" max="4" width="14.5"/>
    <col customWidth="1" min="5" max="5" width="11.25"/>
    <col customWidth="1" min="6" max="6" width="3.75"/>
    <col customWidth="1" min="7" max="7" width="15.0"/>
    <col customWidth="1" min="8" max="8" width="16.88"/>
    <col customWidth="1" min="9" max="9" width="20.0"/>
    <col customWidth="1" min="10" max="10" width="17.63"/>
    <col customWidth="1" min="13" max="13" width="18.25"/>
    <col customWidth="1" min="14" max="14" width="21.13"/>
    <col customWidth="1" min="15" max="15" width="17.88"/>
    <col customWidth="1" min="18" max="18" width="14.5"/>
    <col customWidth="1" min="19" max="19" width="17.63"/>
    <col customWidth="1" min="20" max="20" width="18.13"/>
  </cols>
  <sheetData>
    <row r="2">
      <c r="B2" s="1" t="s">
        <v>0</v>
      </c>
      <c r="C2" s="2"/>
      <c r="D2" s="2"/>
      <c r="E2" s="3"/>
      <c r="G2" s="58"/>
    </row>
    <row r="3">
      <c r="B3" s="4" t="s">
        <v>2</v>
      </c>
      <c r="C3" s="5"/>
      <c r="D3" s="5"/>
      <c r="E3" s="6"/>
      <c r="G3" s="59"/>
      <c r="L3" s="58"/>
      <c r="Q3" s="58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2"/>
      <c r="G4" s="60"/>
      <c r="H4" s="61"/>
      <c r="I4" s="60"/>
      <c r="J4" s="61"/>
      <c r="K4" s="62"/>
      <c r="L4" s="63"/>
      <c r="M4" s="63"/>
      <c r="N4" s="63"/>
      <c r="O4" s="63"/>
      <c r="P4" s="58"/>
      <c r="Q4" s="63"/>
      <c r="R4" s="63"/>
      <c r="S4" s="63"/>
      <c r="T4" s="63"/>
      <c r="U4" s="58"/>
    </row>
    <row r="5">
      <c r="B5" s="20">
        <v>45779.0</v>
      </c>
      <c r="C5" s="21" t="s">
        <v>127</v>
      </c>
      <c r="D5" s="21" t="s">
        <v>97</v>
      </c>
      <c r="E5" s="22">
        <v>11795.0</v>
      </c>
      <c r="F5" s="12"/>
      <c r="G5" s="64"/>
      <c r="H5" s="61"/>
      <c r="I5" s="61"/>
      <c r="J5" s="61"/>
      <c r="K5" s="65"/>
      <c r="L5" s="64"/>
      <c r="M5" s="61"/>
      <c r="N5" s="61"/>
      <c r="O5" s="61"/>
      <c r="P5" s="65"/>
      <c r="Q5" s="66"/>
      <c r="R5" s="12"/>
      <c r="S5" s="12"/>
      <c r="T5" s="12"/>
      <c r="U5" s="67"/>
    </row>
    <row r="6">
      <c r="B6" s="26">
        <v>45781.0</v>
      </c>
      <c r="C6" s="27" t="s">
        <v>128</v>
      </c>
      <c r="D6" s="27" t="s">
        <v>15</v>
      </c>
      <c r="E6" s="28">
        <v>94670.0</v>
      </c>
      <c r="F6" s="12"/>
      <c r="G6" s="64"/>
      <c r="H6" s="61"/>
      <c r="I6" s="61"/>
      <c r="J6" s="61"/>
      <c r="K6" s="65"/>
      <c r="L6" s="64"/>
      <c r="M6" s="61"/>
      <c r="N6" s="61"/>
      <c r="O6" s="61"/>
      <c r="P6" s="65"/>
      <c r="Q6" s="66"/>
      <c r="R6" s="12"/>
      <c r="S6" s="12"/>
      <c r="T6" s="12"/>
      <c r="U6" s="67"/>
    </row>
    <row r="7">
      <c r="B7" s="20">
        <v>45781.0</v>
      </c>
      <c r="C7" s="21" t="s">
        <v>129</v>
      </c>
      <c r="D7" s="21" t="s">
        <v>15</v>
      </c>
      <c r="E7" s="22">
        <v>7497.0</v>
      </c>
      <c r="F7" s="12"/>
      <c r="G7" s="64"/>
      <c r="H7" s="61"/>
      <c r="I7" s="61"/>
      <c r="J7" s="61"/>
      <c r="K7" s="65"/>
      <c r="L7" s="64"/>
      <c r="M7" s="61"/>
      <c r="N7" s="61"/>
      <c r="O7" s="61"/>
      <c r="P7" s="65"/>
      <c r="Q7" s="66"/>
      <c r="R7" s="12"/>
      <c r="S7" s="12"/>
      <c r="T7" s="12"/>
      <c r="U7" s="67"/>
    </row>
    <row r="8">
      <c r="B8" s="26">
        <v>45781.0</v>
      </c>
      <c r="C8" s="27" t="s">
        <v>130</v>
      </c>
      <c r="D8" s="27" t="s">
        <v>15</v>
      </c>
      <c r="E8" s="28">
        <v>2048.0</v>
      </c>
      <c r="F8" s="12"/>
      <c r="G8" s="64"/>
      <c r="H8" s="61"/>
      <c r="I8" s="61"/>
      <c r="J8" s="61"/>
      <c r="K8" s="65"/>
      <c r="L8" s="64"/>
      <c r="M8" s="61"/>
      <c r="N8" s="61"/>
      <c r="O8" s="61"/>
      <c r="P8" s="65"/>
      <c r="Q8" s="66"/>
      <c r="R8" s="12"/>
      <c r="S8" s="12"/>
      <c r="T8" s="12"/>
      <c r="U8" s="67"/>
    </row>
    <row r="9">
      <c r="B9" s="20">
        <v>45781.0</v>
      </c>
      <c r="C9" s="21" t="s">
        <v>131</v>
      </c>
      <c r="D9" s="21" t="s">
        <v>15</v>
      </c>
      <c r="E9" s="22">
        <v>26898.0</v>
      </c>
      <c r="F9" s="12"/>
      <c r="G9" s="64"/>
      <c r="H9" s="61"/>
      <c r="I9" s="61"/>
      <c r="J9" s="61"/>
      <c r="K9" s="65"/>
      <c r="L9" s="64"/>
      <c r="M9" s="61"/>
      <c r="N9" s="61"/>
      <c r="O9" s="61"/>
      <c r="P9" s="65"/>
      <c r="Q9" s="66"/>
      <c r="R9" s="12"/>
      <c r="S9" s="12"/>
      <c r="T9" s="12"/>
      <c r="U9" s="67"/>
    </row>
    <row r="10">
      <c r="B10" s="26">
        <v>45785.0</v>
      </c>
      <c r="C10" s="27" t="s">
        <v>132</v>
      </c>
      <c r="D10" s="27" t="s">
        <v>15</v>
      </c>
      <c r="E10" s="28">
        <v>8790.0</v>
      </c>
      <c r="F10" s="12"/>
      <c r="G10" s="64"/>
      <c r="H10" s="61"/>
      <c r="I10" s="61"/>
      <c r="J10" s="61"/>
      <c r="K10" s="65"/>
      <c r="L10" s="64"/>
      <c r="M10" s="61"/>
      <c r="N10" s="61"/>
      <c r="O10" s="61"/>
      <c r="P10" s="65"/>
      <c r="Q10" s="66"/>
      <c r="R10" s="12"/>
      <c r="S10" s="12"/>
      <c r="T10" s="12"/>
      <c r="U10" s="67"/>
    </row>
    <row r="11">
      <c r="B11" s="20">
        <v>45792.0</v>
      </c>
      <c r="C11" s="21" t="s">
        <v>133</v>
      </c>
      <c r="D11" s="21" t="s">
        <v>15</v>
      </c>
      <c r="E11" s="22">
        <v>113000.0</v>
      </c>
      <c r="F11" s="12"/>
      <c r="G11" s="64"/>
      <c r="H11" s="61"/>
      <c r="I11" s="61"/>
      <c r="J11" s="61"/>
      <c r="K11" s="65"/>
      <c r="L11" s="64"/>
      <c r="M11" s="61"/>
      <c r="N11" s="61"/>
      <c r="O11" s="61"/>
      <c r="P11" s="65"/>
      <c r="Q11" s="66"/>
      <c r="R11" s="12"/>
      <c r="S11" s="12"/>
      <c r="T11" s="12"/>
      <c r="U11" s="67"/>
    </row>
    <row r="12">
      <c r="B12" s="26">
        <v>45799.0</v>
      </c>
      <c r="C12" s="27" t="s">
        <v>134</v>
      </c>
      <c r="D12" s="27" t="s">
        <v>15</v>
      </c>
      <c r="E12" s="28">
        <v>9000.0</v>
      </c>
      <c r="F12" s="12"/>
      <c r="G12" s="64"/>
      <c r="H12" s="12"/>
      <c r="I12" s="12"/>
      <c r="J12" s="12"/>
      <c r="K12" s="12"/>
      <c r="L12" s="64"/>
      <c r="M12" s="61"/>
      <c r="N12" s="61"/>
      <c r="O12" s="61"/>
      <c r="P12" s="65"/>
      <c r="Q12" s="66"/>
      <c r="R12" s="12"/>
      <c r="S12" s="12"/>
      <c r="T12" s="12"/>
      <c r="U12" s="67"/>
    </row>
    <row r="13">
      <c r="B13" s="20">
        <v>45802.0</v>
      </c>
      <c r="C13" s="21" t="s">
        <v>135</v>
      </c>
      <c r="D13" s="21" t="s">
        <v>15</v>
      </c>
      <c r="E13" s="22">
        <v>10010.0</v>
      </c>
      <c r="F13" s="12"/>
      <c r="G13" s="64"/>
      <c r="H13" s="12"/>
      <c r="I13" s="12"/>
      <c r="J13" s="12"/>
      <c r="K13" s="12"/>
      <c r="L13" s="66"/>
      <c r="M13" s="12"/>
      <c r="N13" s="12"/>
      <c r="O13" s="12"/>
      <c r="P13" s="12"/>
      <c r="Q13" s="66"/>
      <c r="R13" s="12"/>
      <c r="S13" s="12"/>
      <c r="T13" s="12"/>
      <c r="U13" s="67"/>
    </row>
    <row r="14">
      <c r="B14" s="26">
        <v>45805.0</v>
      </c>
      <c r="C14" s="27" t="s">
        <v>136</v>
      </c>
      <c r="D14" s="27" t="s">
        <v>15</v>
      </c>
      <c r="E14" s="28">
        <v>58865.0</v>
      </c>
      <c r="G14" s="64"/>
      <c r="H14" s="12"/>
      <c r="I14" s="12"/>
      <c r="J14" s="12"/>
      <c r="K14" s="67"/>
      <c r="L14" s="66"/>
      <c r="M14" s="12"/>
      <c r="N14" s="12"/>
      <c r="O14" s="12"/>
      <c r="P14" s="67"/>
      <c r="Q14" s="66"/>
      <c r="R14" s="12"/>
      <c r="S14" s="12"/>
      <c r="T14" s="12"/>
      <c r="U14" s="67"/>
    </row>
    <row r="15">
      <c r="B15" s="20">
        <v>45805.0</v>
      </c>
      <c r="C15" s="21" t="s">
        <v>136</v>
      </c>
      <c r="D15" s="21" t="s">
        <v>15</v>
      </c>
      <c r="E15" s="22">
        <v>7995.0</v>
      </c>
      <c r="G15" s="64"/>
      <c r="H15" s="12"/>
      <c r="I15" s="12"/>
      <c r="J15" s="12"/>
      <c r="K15" s="67"/>
      <c r="L15" s="66"/>
      <c r="M15" s="12"/>
      <c r="N15" s="12"/>
      <c r="O15" s="12"/>
      <c r="P15" s="67"/>
      <c r="Q15" s="66"/>
      <c r="R15" s="12"/>
      <c r="S15" s="12"/>
      <c r="T15" s="12"/>
      <c r="U15" s="67"/>
    </row>
    <row r="16">
      <c r="B16" s="26">
        <v>45782.0</v>
      </c>
      <c r="C16" s="27" t="s">
        <v>137</v>
      </c>
      <c r="D16" s="27" t="s">
        <v>15</v>
      </c>
      <c r="E16" s="28">
        <v>23000.0</v>
      </c>
      <c r="G16" s="66"/>
      <c r="H16" s="12"/>
      <c r="I16" s="12"/>
      <c r="J16" s="12"/>
      <c r="K16" s="67"/>
      <c r="L16" s="66"/>
      <c r="M16" s="12"/>
      <c r="N16" s="12"/>
      <c r="O16" s="12"/>
      <c r="P16" s="67"/>
      <c r="Q16" s="66"/>
      <c r="R16" s="12"/>
      <c r="S16" s="12"/>
      <c r="T16" s="12"/>
      <c r="U16" s="67"/>
    </row>
    <row r="17">
      <c r="B17" s="20">
        <v>45790.0</v>
      </c>
      <c r="C17" s="21" t="s">
        <v>138</v>
      </c>
      <c r="D17" s="21" t="s">
        <v>15</v>
      </c>
      <c r="E17" s="22">
        <v>25000.0</v>
      </c>
      <c r="G17" s="66"/>
      <c r="H17" s="12"/>
      <c r="I17" s="12"/>
      <c r="J17" s="12"/>
      <c r="K17" s="67"/>
      <c r="L17" s="66"/>
      <c r="M17" s="12"/>
      <c r="N17" s="12"/>
      <c r="O17" s="12"/>
      <c r="P17" s="67"/>
      <c r="Q17" s="66"/>
      <c r="R17" s="12"/>
      <c r="S17" s="12"/>
      <c r="T17" s="12"/>
      <c r="U17" s="67"/>
    </row>
    <row r="18">
      <c r="B18" s="26">
        <v>45802.0</v>
      </c>
      <c r="C18" s="27" t="s">
        <v>138</v>
      </c>
      <c r="D18" s="27" t="s">
        <v>15</v>
      </c>
      <c r="E18" s="28">
        <v>30000.0</v>
      </c>
      <c r="G18" s="66"/>
      <c r="H18" s="12"/>
      <c r="I18" s="12"/>
      <c r="J18" s="12"/>
      <c r="K18" s="67"/>
      <c r="L18" s="66"/>
      <c r="M18" s="12"/>
      <c r="N18" s="12"/>
      <c r="O18" s="12"/>
      <c r="P18" s="67"/>
      <c r="Q18" s="66"/>
      <c r="R18" s="12"/>
      <c r="S18" s="12"/>
      <c r="T18" s="12"/>
      <c r="U18" s="67"/>
    </row>
    <row r="19">
      <c r="B19" s="37" t="s">
        <v>48</v>
      </c>
      <c r="C19" s="2"/>
      <c r="D19" s="2"/>
      <c r="E19" s="38">
        <f>SUM(E5:E18)</f>
        <v>428568</v>
      </c>
      <c r="G19" s="68"/>
      <c r="H19" s="69"/>
      <c r="I19" s="69"/>
      <c r="J19" s="68"/>
      <c r="K19" s="70"/>
      <c r="L19" s="71"/>
      <c r="M19" s="12"/>
      <c r="N19" s="12"/>
      <c r="O19" s="72"/>
      <c r="P19" s="70"/>
      <c r="Q19" s="71"/>
      <c r="R19" s="12"/>
      <c r="S19" s="12"/>
      <c r="T19" s="72"/>
      <c r="U19" s="70"/>
    </row>
    <row r="20">
      <c r="B20" s="48"/>
      <c r="G20" s="73"/>
      <c r="U20" s="74"/>
    </row>
    <row r="23">
      <c r="T23" s="75"/>
      <c r="U23" s="67"/>
    </row>
    <row r="24">
      <c r="T24" s="75"/>
      <c r="U24" s="67"/>
    </row>
    <row r="25">
      <c r="T25" s="75"/>
      <c r="U25" s="76"/>
    </row>
  </sheetData>
  <mergeCells count="9">
    <mergeCell ref="B20:E20"/>
    <mergeCell ref="G20:T20"/>
    <mergeCell ref="B2:E2"/>
    <mergeCell ref="G2:U2"/>
    <mergeCell ref="B3:E3"/>
    <mergeCell ref="G3:K3"/>
    <mergeCell ref="L3:P3"/>
    <mergeCell ref="Q3:U3"/>
    <mergeCell ref="B19:D1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32.63"/>
    <col customWidth="1" min="4" max="4" width="14.5"/>
    <col customWidth="1" min="5" max="5" width="11.25"/>
    <col customWidth="1" min="6" max="6" width="3.75"/>
    <col customWidth="1" min="7" max="7" width="15.0"/>
    <col customWidth="1" min="8" max="8" width="16.88"/>
    <col customWidth="1" min="9" max="9" width="20.0"/>
    <col customWidth="1" min="10" max="10" width="17.63"/>
    <col customWidth="1" min="13" max="13" width="18.25"/>
    <col customWidth="1" min="14" max="14" width="21.13"/>
    <col customWidth="1" min="15" max="15" width="17.88"/>
    <col customWidth="1" min="18" max="18" width="14.5"/>
    <col customWidth="1" min="19" max="19" width="17.63"/>
    <col customWidth="1" min="20" max="20" width="18.13"/>
  </cols>
  <sheetData>
    <row r="2">
      <c r="B2" s="1" t="s">
        <v>0</v>
      </c>
      <c r="C2" s="2"/>
      <c r="D2" s="2"/>
      <c r="E2" s="3"/>
      <c r="G2" s="58"/>
    </row>
    <row r="3">
      <c r="B3" s="4" t="s">
        <v>2</v>
      </c>
      <c r="C3" s="5"/>
      <c r="D3" s="5"/>
      <c r="E3" s="6"/>
      <c r="G3" s="59"/>
      <c r="L3" s="58"/>
      <c r="Q3" s="58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2"/>
      <c r="G4" s="60"/>
      <c r="H4" s="61"/>
      <c r="I4" s="60"/>
      <c r="J4" s="61"/>
      <c r="K4" s="62"/>
      <c r="L4" s="63"/>
      <c r="M4" s="63"/>
      <c r="N4" s="63"/>
      <c r="O4" s="63"/>
      <c r="P4" s="58"/>
      <c r="Q4" s="63"/>
      <c r="R4" s="63"/>
      <c r="S4" s="63"/>
      <c r="T4" s="63"/>
      <c r="U4" s="58"/>
    </row>
    <row r="5">
      <c r="B5" s="20">
        <v>45813.0</v>
      </c>
      <c r="C5" s="21" t="s">
        <v>139</v>
      </c>
      <c r="D5" s="21" t="s">
        <v>15</v>
      </c>
      <c r="E5" s="22">
        <v>23000.0</v>
      </c>
      <c r="F5" s="12"/>
      <c r="G5" s="64"/>
      <c r="H5" s="61"/>
      <c r="I5" s="61"/>
      <c r="J5" s="61"/>
      <c r="K5" s="65"/>
      <c r="L5" s="64"/>
      <c r="M5" s="61"/>
      <c r="N5" s="61"/>
      <c r="O5" s="61"/>
      <c r="P5" s="65"/>
      <c r="Q5" s="66"/>
      <c r="R5" s="12"/>
      <c r="S5" s="12"/>
      <c r="T5" s="12"/>
      <c r="U5" s="67"/>
    </row>
    <row r="6">
      <c r="B6" s="26">
        <v>45817.0</v>
      </c>
      <c r="C6" s="27" t="s">
        <v>140</v>
      </c>
      <c r="D6" s="27" t="s">
        <v>15</v>
      </c>
      <c r="E6" s="28">
        <v>103858.0</v>
      </c>
      <c r="F6" s="12"/>
      <c r="G6" s="64"/>
      <c r="H6" s="61"/>
      <c r="I6" s="61"/>
      <c r="J6" s="61"/>
      <c r="K6" s="65"/>
      <c r="L6" s="64"/>
      <c r="M6" s="61"/>
      <c r="N6" s="61"/>
      <c r="O6" s="61"/>
      <c r="P6" s="65"/>
      <c r="Q6" s="66"/>
      <c r="R6" s="12"/>
      <c r="S6" s="12"/>
      <c r="T6" s="12"/>
      <c r="U6" s="67"/>
    </row>
    <row r="7">
      <c r="B7" s="20">
        <v>45817.0</v>
      </c>
      <c r="C7" s="21" t="s">
        <v>141</v>
      </c>
      <c r="D7" s="21" t="s">
        <v>15</v>
      </c>
      <c r="E7" s="22">
        <v>7860.0</v>
      </c>
      <c r="F7" s="12"/>
      <c r="G7" s="64"/>
      <c r="H7" s="61"/>
      <c r="I7" s="61"/>
      <c r="J7" s="61"/>
      <c r="K7" s="65"/>
      <c r="L7" s="64"/>
      <c r="M7" s="61"/>
      <c r="N7" s="61"/>
      <c r="O7" s="61"/>
      <c r="P7" s="65"/>
      <c r="Q7" s="66"/>
      <c r="R7" s="12"/>
      <c r="S7" s="12"/>
      <c r="T7" s="12"/>
      <c r="U7" s="67"/>
    </row>
    <row r="8">
      <c r="B8" s="26">
        <v>45817.0</v>
      </c>
      <c r="C8" s="27" t="s">
        <v>142</v>
      </c>
      <c r="D8" s="27" t="s">
        <v>15</v>
      </c>
      <c r="E8" s="28">
        <v>2109.0</v>
      </c>
      <c r="F8" s="12"/>
      <c r="G8" s="64"/>
      <c r="H8" s="61"/>
      <c r="I8" s="61"/>
      <c r="J8" s="61"/>
      <c r="K8" s="65"/>
      <c r="L8" s="64"/>
      <c r="M8" s="61"/>
      <c r="N8" s="61"/>
      <c r="O8" s="61"/>
      <c r="P8" s="65"/>
      <c r="Q8" s="66"/>
      <c r="R8" s="12"/>
      <c r="S8" s="12"/>
      <c r="T8" s="12"/>
      <c r="U8" s="67"/>
    </row>
    <row r="9">
      <c r="B9" s="20">
        <v>45822.0</v>
      </c>
      <c r="C9" s="21" t="s">
        <v>143</v>
      </c>
      <c r="D9" s="21" t="s">
        <v>15</v>
      </c>
      <c r="E9" s="22">
        <v>75000.0</v>
      </c>
      <c r="F9" s="12"/>
      <c r="G9" s="64"/>
      <c r="H9" s="61"/>
      <c r="I9" s="61"/>
      <c r="J9" s="61"/>
      <c r="K9" s="65"/>
      <c r="L9" s="64"/>
      <c r="M9" s="61"/>
      <c r="N9" s="61"/>
      <c r="O9" s="61"/>
      <c r="P9" s="65"/>
      <c r="Q9" s="66"/>
      <c r="R9" s="12"/>
      <c r="S9" s="12"/>
      <c r="T9" s="12"/>
      <c r="U9" s="67"/>
    </row>
    <row r="10">
      <c r="B10" s="26">
        <v>45824.0</v>
      </c>
      <c r="C10" s="27" t="s">
        <v>144</v>
      </c>
      <c r="D10" s="27" t="s">
        <v>15</v>
      </c>
      <c r="E10" s="28">
        <v>90962.0</v>
      </c>
      <c r="F10" s="12"/>
      <c r="G10" s="64"/>
      <c r="H10" s="61"/>
      <c r="I10" s="61"/>
      <c r="J10" s="61"/>
      <c r="K10" s="65"/>
      <c r="L10" s="64"/>
      <c r="M10" s="61"/>
      <c r="N10" s="61"/>
      <c r="O10" s="61"/>
      <c r="P10" s="65"/>
      <c r="Q10" s="66"/>
      <c r="R10" s="12"/>
      <c r="S10" s="12"/>
      <c r="T10" s="12"/>
      <c r="U10" s="67"/>
    </row>
    <row r="11">
      <c r="B11" s="20">
        <v>45825.0</v>
      </c>
      <c r="C11" s="21" t="s">
        <v>145</v>
      </c>
      <c r="D11" s="21" t="s">
        <v>15</v>
      </c>
      <c r="E11" s="22">
        <v>29520.0</v>
      </c>
      <c r="F11" s="12"/>
      <c r="G11" s="64"/>
      <c r="H11" s="61"/>
      <c r="I11" s="61"/>
      <c r="J11" s="61"/>
      <c r="K11" s="65"/>
      <c r="L11" s="64"/>
      <c r="M11" s="61"/>
      <c r="N11" s="61"/>
      <c r="O11" s="61"/>
      <c r="P11" s="65"/>
      <c r="Q11" s="66"/>
      <c r="R11" s="12"/>
      <c r="S11" s="12"/>
      <c r="T11" s="12"/>
      <c r="U11" s="67"/>
    </row>
    <row r="12">
      <c r="B12" s="26">
        <v>45835.0</v>
      </c>
      <c r="C12" s="27" t="s">
        <v>146</v>
      </c>
      <c r="D12" s="27" t="s">
        <v>15</v>
      </c>
      <c r="E12" s="28">
        <v>90000.0</v>
      </c>
      <c r="F12" s="12"/>
      <c r="G12" s="64"/>
      <c r="H12" s="12"/>
      <c r="I12" s="61"/>
      <c r="J12" s="61"/>
      <c r="K12" s="12"/>
      <c r="L12" s="64"/>
      <c r="M12" s="61"/>
      <c r="N12" s="61"/>
      <c r="O12" s="61"/>
      <c r="P12" s="65"/>
      <c r="Q12" s="66"/>
      <c r="R12" s="12"/>
      <c r="S12" s="12"/>
      <c r="T12" s="12"/>
      <c r="U12" s="67"/>
    </row>
    <row r="13">
      <c r="B13" s="20">
        <v>45823.0</v>
      </c>
      <c r="C13" s="21" t="s">
        <v>147</v>
      </c>
      <c r="D13" s="21" t="s">
        <v>15</v>
      </c>
      <c r="E13" s="22">
        <v>48700.0</v>
      </c>
      <c r="F13" s="12"/>
      <c r="G13" s="64"/>
      <c r="H13" s="12"/>
      <c r="I13" s="61"/>
      <c r="J13" s="61"/>
      <c r="K13" s="12"/>
      <c r="L13" s="64"/>
      <c r="M13" s="12"/>
      <c r="N13" s="61"/>
      <c r="O13" s="61"/>
      <c r="P13" s="12"/>
      <c r="Q13" s="66"/>
      <c r="R13" s="12"/>
      <c r="S13" s="12"/>
      <c r="T13" s="12"/>
      <c r="U13" s="67"/>
    </row>
    <row r="14">
      <c r="B14" s="26">
        <v>45823.0</v>
      </c>
      <c r="C14" s="27" t="s">
        <v>148</v>
      </c>
      <c r="D14" s="27" t="s">
        <v>15</v>
      </c>
      <c r="E14" s="28">
        <v>17159.0</v>
      </c>
      <c r="G14" s="64"/>
      <c r="H14" s="12"/>
      <c r="I14" s="61"/>
      <c r="J14" s="61"/>
      <c r="K14" s="67"/>
      <c r="L14" s="64"/>
      <c r="M14" s="12"/>
      <c r="N14" s="61"/>
      <c r="O14" s="61"/>
      <c r="P14" s="67"/>
      <c r="Q14" s="66"/>
      <c r="R14" s="12"/>
      <c r="S14" s="12"/>
      <c r="T14" s="12"/>
      <c r="U14" s="67"/>
    </row>
    <row r="15">
      <c r="B15" s="20">
        <v>45827.0</v>
      </c>
      <c r="C15" s="21" t="s">
        <v>149</v>
      </c>
      <c r="D15" s="21" t="s">
        <v>15</v>
      </c>
      <c r="E15" s="22">
        <v>7990.0</v>
      </c>
      <c r="G15" s="64"/>
      <c r="H15" s="12"/>
      <c r="I15" s="61"/>
      <c r="J15" s="61"/>
      <c r="K15" s="67"/>
      <c r="L15" s="64"/>
      <c r="M15" s="12"/>
      <c r="N15" s="61"/>
      <c r="O15" s="61"/>
      <c r="P15" s="67"/>
      <c r="Q15" s="66"/>
      <c r="R15" s="12"/>
      <c r="S15" s="12"/>
      <c r="T15" s="12"/>
      <c r="U15" s="67"/>
    </row>
    <row r="16">
      <c r="B16" s="26">
        <v>45813.0</v>
      </c>
      <c r="C16" s="27" t="s">
        <v>95</v>
      </c>
      <c r="D16" s="27" t="s">
        <v>15</v>
      </c>
      <c r="E16" s="28">
        <v>17000.0</v>
      </c>
      <c r="G16" s="64"/>
      <c r="H16" s="12"/>
      <c r="I16" s="61"/>
      <c r="J16" s="61"/>
      <c r="K16" s="67"/>
      <c r="L16" s="64"/>
      <c r="M16" s="12"/>
      <c r="N16" s="61"/>
      <c r="O16" s="61"/>
      <c r="P16" s="67"/>
      <c r="Q16" s="66"/>
      <c r="R16" s="12"/>
      <c r="S16" s="12"/>
      <c r="T16" s="12"/>
      <c r="U16" s="67"/>
    </row>
    <row r="17">
      <c r="B17" s="20"/>
      <c r="C17" s="21"/>
      <c r="D17" s="21"/>
      <c r="E17" s="22"/>
      <c r="G17" s="64"/>
      <c r="H17" s="12"/>
      <c r="I17" s="61"/>
      <c r="J17" s="61"/>
      <c r="K17" s="67"/>
      <c r="L17" s="64"/>
      <c r="M17" s="12"/>
      <c r="N17" s="61"/>
      <c r="O17" s="61"/>
      <c r="P17" s="67"/>
      <c r="Q17" s="66"/>
      <c r="R17" s="12"/>
      <c r="S17" s="12"/>
      <c r="T17" s="12"/>
      <c r="U17" s="67"/>
    </row>
    <row r="18">
      <c r="B18" s="26"/>
      <c r="C18" s="27"/>
      <c r="D18" s="27"/>
      <c r="E18" s="28"/>
      <c r="G18" s="64"/>
      <c r="H18" s="12"/>
      <c r="I18" s="61"/>
      <c r="J18" s="61"/>
      <c r="K18" s="67"/>
      <c r="L18" s="64"/>
      <c r="M18" s="12"/>
      <c r="N18" s="61"/>
      <c r="O18" s="61"/>
      <c r="P18" s="67"/>
      <c r="Q18" s="66"/>
      <c r="R18" s="12"/>
      <c r="S18" s="12"/>
      <c r="T18" s="12"/>
      <c r="U18" s="67"/>
    </row>
    <row r="19">
      <c r="B19" s="20"/>
      <c r="C19" s="21"/>
      <c r="D19" s="21"/>
      <c r="E19" s="22"/>
      <c r="G19" s="64"/>
      <c r="H19" s="12"/>
      <c r="I19" s="61"/>
      <c r="J19" s="12"/>
      <c r="K19" s="67"/>
      <c r="L19" s="64"/>
      <c r="M19" s="12"/>
      <c r="N19" s="61"/>
      <c r="P19" s="67"/>
      <c r="Q19" s="66"/>
      <c r="R19" s="12"/>
      <c r="S19" s="12"/>
      <c r="T19" s="12"/>
      <c r="U19" s="67"/>
    </row>
    <row r="20">
      <c r="B20" s="26"/>
      <c r="C20" s="30"/>
      <c r="D20" s="30"/>
      <c r="E20" s="31"/>
      <c r="G20" s="66"/>
      <c r="H20" s="12"/>
      <c r="I20" s="12"/>
      <c r="J20" s="12"/>
      <c r="K20" s="67"/>
      <c r="L20" s="66"/>
      <c r="M20" s="12"/>
      <c r="N20" s="61"/>
      <c r="O20" s="12"/>
      <c r="P20" s="67"/>
      <c r="Q20" s="66"/>
      <c r="R20" s="12"/>
      <c r="S20" s="12"/>
      <c r="T20" s="12"/>
      <c r="U20" s="67"/>
    </row>
    <row r="21">
      <c r="B21" s="23"/>
      <c r="C21" s="24"/>
      <c r="D21" s="24"/>
      <c r="E21" s="25"/>
      <c r="G21" s="66"/>
      <c r="H21" s="12"/>
      <c r="I21" s="12"/>
      <c r="J21" s="12"/>
      <c r="K21" s="67"/>
      <c r="L21" s="66"/>
      <c r="M21" s="12"/>
      <c r="N21" s="12"/>
      <c r="O21" s="12"/>
      <c r="P21" s="67"/>
      <c r="Q21" s="66"/>
      <c r="R21" s="12"/>
      <c r="S21" s="12"/>
      <c r="T21" s="12"/>
      <c r="U21" s="67"/>
    </row>
    <row r="22">
      <c r="B22" s="29"/>
      <c r="C22" s="30"/>
      <c r="D22" s="30"/>
      <c r="E22" s="31"/>
      <c r="G22" s="66"/>
      <c r="H22" s="12"/>
      <c r="I22" s="12"/>
      <c r="J22" s="12"/>
      <c r="K22" s="67"/>
      <c r="L22" s="66"/>
      <c r="M22" s="12"/>
      <c r="N22" s="12"/>
      <c r="O22" s="12"/>
      <c r="P22" s="67"/>
      <c r="Q22" s="66"/>
      <c r="R22" s="12"/>
      <c r="S22" s="12"/>
      <c r="T22" s="12"/>
      <c r="U22" s="67"/>
    </row>
    <row r="23">
      <c r="B23" s="23"/>
      <c r="C23" s="24"/>
      <c r="D23" s="24"/>
      <c r="E23" s="25"/>
      <c r="G23" s="66"/>
      <c r="H23" s="12"/>
      <c r="I23" s="12"/>
      <c r="J23" s="12"/>
      <c r="K23" s="67"/>
      <c r="L23" s="66"/>
      <c r="M23" s="12"/>
      <c r="N23" s="12"/>
      <c r="O23" s="12"/>
      <c r="P23" s="67"/>
      <c r="Q23" s="66"/>
      <c r="R23" s="12"/>
      <c r="S23" s="12"/>
      <c r="T23" s="12"/>
      <c r="U23" s="67"/>
    </row>
    <row r="24">
      <c r="B24" s="29"/>
      <c r="C24" s="30"/>
      <c r="D24" s="30"/>
      <c r="E24" s="31"/>
      <c r="G24" s="66"/>
      <c r="H24" s="12"/>
      <c r="I24" s="12"/>
      <c r="J24" s="12"/>
      <c r="K24" s="67"/>
      <c r="L24" s="66"/>
      <c r="M24" s="12"/>
      <c r="N24" s="12"/>
      <c r="O24" s="12"/>
      <c r="P24" s="67"/>
      <c r="Q24" s="66"/>
      <c r="R24" s="12"/>
      <c r="S24" s="12"/>
      <c r="T24" s="12"/>
      <c r="U24" s="67"/>
    </row>
    <row r="25">
      <c r="B25" s="23"/>
      <c r="C25" s="24"/>
      <c r="D25" s="24"/>
      <c r="E25" s="25"/>
      <c r="G25" s="66"/>
      <c r="H25" s="77"/>
      <c r="I25" s="12"/>
      <c r="J25" s="12"/>
      <c r="K25" s="67"/>
      <c r="L25" s="66"/>
      <c r="M25" s="12"/>
      <c r="N25" s="12"/>
      <c r="O25" s="12"/>
      <c r="P25" s="67"/>
      <c r="Q25" s="66"/>
      <c r="R25" s="12"/>
      <c r="S25" s="12"/>
      <c r="T25" s="12"/>
      <c r="U25" s="67"/>
    </row>
    <row r="26">
      <c r="B26" s="29"/>
      <c r="C26" s="30"/>
      <c r="D26" s="30"/>
      <c r="E26" s="31"/>
      <c r="G26" s="66"/>
      <c r="H26" s="12"/>
      <c r="I26" s="12"/>
      <c r="J26" s="12"/>
      <c r="K26" s="67"/>
      <c r="L26" s="66"/>
      <c r="M26" s="12"/>
      <c r="N26" s="12"/>
      <c r="O26" s="12"/>
      <c r="P26" s="67"/>
      <c r="Q26" s="66"/>
      <c r="R26" s="12"/>
      <c r="S26" s="12"/>
      <c r="T26" s="12"/>
      <c r="U26" s="67"/>
    </row>
    <row r="27">
      <c r="B27" s="23"/>
      <c r="C27" s="24"/>
      <c r="D27" s="24"/>
      <c r="E27" s="25"/>
      <c r="G27" s="66"/>
      <c r="H27" s="12"/>
      <c r="I27" s="12"/>
      <c r="J27" s="12"/>
      <c r="K27" s="67"/>
      <c r="L27" s="66"/>
      <c r="M27" s="12"/>
      <c r="N27" s="12"/>
      <c r="O27" s="12"/>
      <c r="P27" s="67"/>
      <c r="Q27" s="66"/>
      <c r="R27" s="12"/>
      <c r="S27" s="12"/>
      <c r="T27" s="12"/>
      <c r="U27" s="67"/>
    </row>
    <row r="28">
      <c r="B28" s="29"/>
      <c r="C28" s="30"/>
      <c r="D28" s="30"/>
      <c r="E28" s="31"/>
      <c r="G28" s="66"/>
      <c r="H28" s="12"/>
      <c r="I28" s="12"/>
      <c r="J28" s="12"/>
      <c r="K28" s="67"/>
      <c r="L28" s="66"/>
      <c r="M28" s="12"/>
      <c r="N28" s="12"/>
      <c r="O28" s="12"/>
      <c r="P28" s="67"/>
      <c r="Q28" s="66"/>
      <c r="R28" s="12"/>
      <c r="S28" s="12"/>
      <c r="T28" s="12"/>
      <c r="U28" s="67"/>
    </row>
    <row r="29">
      <c r="B29" s="23"/>
      <c r="C29" s="24"/>
      <c r="D29" s="24"/>
      <c r="E29" s="25"/>
      <c r="G29" s="66"/>
      <c r="H29" s="12"/>
      <c r="I29" s="12"/>
      <c r="J29" s="12"/>
      <c r="K29" s="67"/>
      <c r="L29" s="66"/>
      <c r="M29" s="12"/>
      <c r="N29" s="12"/>
      <c r="O29" s="12"/>
      <c r="P29" s="67"/>
      <c r="Q29" s="66"/>
      <c r="R29" s="12"/>
      <c r="S29" s="12"/>
      <c r="T29" s="12"/>
      <c r="U29" s="67"/>
    </row>
    <row r="30">
      <c r="B30" s="29"/>
      <c r="C30" s="30"/>
      <c r="D30" s="30"/>
      <c r="E30" s="31"/>
      <c r="G30" s="66"/>
      <c r="H30" s="12"/>
      <c r="I30" s="12"/>
      <c r="J30" s="12"/>
      <c r="K30" s="67"/>
      <c r="L30" s="66"/>
      <c r="M30" s="12"/>
      <c r="N30" s="12"/>
      <c r="O30" s="12"/>
      <c r="P30" s="67"/>
      <c r="Q30" s="66"/>
      <c r="R30" s="12"/>
      <c r="S30" s="12"/>
      <c r="T30" s="12"/>
      <c r="U30" s="67"/>
    </row>
    <row r="31">
      <c r="B31" s="23"/>
      <c r="C31" s="24"/>
      <c r="D31" s="24"/>
      <c r="E31" s="25"/>
      <c r="G31" s="66"/>
      <c r="H31" s="12"/>
      <c r="I31" s="12"/>
      <c r="J31" s="12"/>
      <c r="K31" s="67"/>
      <c r="L31" s="66"/>
      <c r="M31" s="12"/>
      <c r="N31" s="12"/>
      <c r="O31" s="12"/>
      <c r="P31" s="67"/>
      <c r="Q31" s="66"/>
      <c r="R31" s="12"/>
      <c r="S31" s="12"/>
      <c r="T31" s="12"/>
      <c r="U31" s="67"/>
    </row>
    <row r="32">
      <c r="B32" s="29"/>
      <c r="C32" s="30"/>
      <c r="D32" s="30"/>
      <c r="E32" s="31"/>
      <c r="G32" s="66"/>
      <c r="H32" s="12"/>
      <c r="I32" s="12"/>
      <c r="J32" s="12"/>
      <c r="K32" s="67"/>
      <c r="L32" s="66"/>
      <c r="M32" s="12"/>
      <c r="N32" s="12"/>
      <c r="O32" s="12"/>
      <c r="P32" s="67"/>
      <c r="Q32" s="66"/>
      <c r="R32" s="12"/>
      <c r="S32" s="12"/>
      <c r="T32" s="12"/>
      <c r="U32" s="67"/>
    </row>
    <row r="33">
      <c r="B33" s="23"/>
      <c r="C33" s="24"/>
      <c r="D33" s="24"/>
      <c r="E33" s="25"/>
      <c r="G33" s="66"/>
      <c r="H33" s="12"/>
      <c r="I33" s="12"/>
      <c r="J33" s="12"/>
      <c r="K33" s="67"/>
      <c r="L33" s="66"/>
      <c r="M33" s="12"/>
      <c r="N33" s="12"/>
      <c r="O33" s="12"/>
      <c r="P33" s="67"/>
      <c r="Q33" s="66"/>
      <c r="R33" s="12"/>
      <c r="S33" s="12"/>
      <c r="T33" s="12"/>
      <c r="U33" s="67"/>
    </row>
    <row r="34">
      <c r="B34" s="29"/>
      <c r="C34" s="30"/>
      <c r="D34" s="30"/>
      <c r="E34" s="31"/>
      <c r="G34" s="66"/>
      <c r="H34" s="12"/>
      <c r="I34" s="12"/>
      <c r="J34" s="12"/>
      <c r="K34" s="67"/>
      <c r="L34" s="66"/>
      <c r="M34" s="12"/>
      <c r="N34" s="12"/>
      <c r="O34" s="12"/>
      <c r="P34" s="67"/>
      <c r="Q34" s="66"/>
      <c r="R34" s="12"/>
      <c r="S34" s="12"/>
      <c r="T34" s="12"/>
      <c r="U34" s="67"/>
    </row>
    <row r="35">
      <c r="B35" s="23"/>
      <c r="C35" s="24"/>
      <c r="D35" s="24"/>
      <c r="E35" s="25"/>
      <c r="G35" s="66"/>
      <c r="H35" s="12"/>
      <c r="I35" s="12"/>
      <c r="J35" s="12"/>
      <c r="K35" s="67"/>
      <c r="L35" s="66"/>
      <c r="M35" s="12"/>
      <c r="N35" s="12"/>
      <c r="O35" s="12"/>
      <c r="P35" s="67"/>
      <c r="Q35" s="66"/>
      <c r="R35" s="12"/>
      <c r="S35" s="12"/>
      <c r="T35" s="12"/>
      <c r="U35" s="67"/>
    </row>
    <row r="36">
      <c r="B36" s="29"/>
      <c r="C36" s="30"/>
      <c r="D36" s="30"/>
      <c r="E36" s="31"/>
      <c r="G36" s="66"/>
      <c r="H36" s="12"/>
      <c r="I36" s="12"/>
      <c r="J36" s="12"/>
      <c r="K36" s="67"/>
      <c r="L36" s="66"/>
      <c r="M36" s="12"/>
      <c r="N36" s="12"/>
      <c r="O36" s="12"/>
      <c r="P36" s="67"/>
      <c r="Q36" s="66"/>
      <c r="R36" s="12"/>
      <c r="S36" s="12"/>
      <c r="T36" s="12"/>
      <c r="U36" s="67"/>
    </row>
    <row r="37">
      <c r="B37" s="37" t="s">
        <v>48</v>
      </c>
      <c r="C37" s="2"/>
      <c r="D37" s="2"/>
      <c r="E37" s="38">
        <f>SUM(E5:E36)</f>
        <v>513158</v>
      </c>
      <c r="G37" s="68"/>
      <c r="H37" s="69"/>
      <c r="I37" s="69"/>
      <c r="J37" s="68"/>
      <c r="K37" s="70"/>
      <c r="L37" s="71"/>
      <c r="M37" s="12"/>
      <c r="N37" s="12"/>
      <c r="O37" s="72"/>
      <c r="P37" s="70"/>
      <c r="Q37" s="71"/>
      <c r="R37" s="12"/>
      <c r="S37" s="12"/>
      <c r="T37" s="72"/>
      <c r="U37" s="70"/>
    </row>
    <row r="38">
      <c r="B38" s="48"/>
      <c r="G38" s="72"/>
      <c r="U38" s="76"/>
    </row>
    <row r="41">
      <c r="T41" s="75"/>
      <c r="U41" s="67"/>
    </row>
    <row r="42">
      <c r="T42" s="75"/>
      <c r="U42" s="67"/>
    </row>
    <row r="43">
      <c r="T43" s="54" t="s">
        <v>50</v>
      </c>
      <c r="U43" s="78">
        <f>SUM(U41-U42)</f>
        <v>0</v>
      </c>
    </row>
  </sheetData>
  <mergeCells count="9">
    <mergeCell ref="B38:E38"/>
    <mergeCell ref="G38:T38"/>
    <mergeCell ref="B2:E2"/>
    <mergeCell ref="G2:U2"/>
    <mergeCell ref="B3:E3"/>
    <mergeCell ref="G3:K3"/>
    <mergeCell ref="L3:P3"/>
    <mergeCell ref="Q3:U3"/>
    <mergeCell ref="B37:D3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32.63"/>
    <col customWidth="1" min="4" max="4" width="14.5"/>
    <col customWidth="1" min="5" max="5" width="11.25"/>
    <col customWidth="1" min="6" max="6" width="3.75"/>
    <col customWidth="1" min="7" max="7" width="15.0"/>
    <col customWidth="1" min="8" max="8" width="16.88"/>
    <col customWidth="1" min="9" max="9" width="20.0"/>
    <col customWidth="1" min="10" max="10" width="17.63"/>
    <col customWidth="1" min="13" max="13" width="18.25"/>
    <col customWidth="1" min="14" max="14" width="21.13"/>
    <col customWidth="1" min="15" max="15" width="17.88"/>
    <col customWidth="1" min="18" max="18" width="14.5"/>
    <col customWidth="1" min="19" max="19" width="17.63"/>
    <col customWidth="1" min="20" max="20" width="18.13"/>
  </cols>
  <sheetData>
    <row r="2">
      <c r="B2" s="1" t="s">
        <v>0</v>
      </c>
      <c r="C2" s="2"/>
      <c r="D2" s="2"/>
      <c r="E2" s="3"/>
      <c r="G2" s="62"/>
      <c r="V2" s="58"/>
      <c r="W2" s="58"/>
      <c r="X2" s="58"/>
    </row>
    <row r="3">
      <c r="B3" s="4" t="s">
        <v>2</v>
      </c>
      <c r="C3" s="5"/>
      <c r="D3" s="5"/>
      <c r="E3" s="6"/>
      <c r="G3" s="62"/>
      <c r="L3" s="62"/>
      <c r="Q3" s="62"/>
      <c r="V3" s="58"/>
      <c r="W3" s="58"/>
      <c r="X3" s="58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2"/>
      <c r="G4" s="61"/>
      <c r="H4" s="61"/>
      <c r="I4" s="61"/>
      <c r="J4" s="61"/>
      <c r="K4" s="62"/>
      <c r="L4" s="61"/>
      <c r="M4" s="61"/>
      <c r="N4" s="61"/>
      <c r="O4" s="61"/>
      <c r="P4" s="62"/>
      <c r="Q4" s="61"/>
      <c r="R4" s="61"/>
      <c r="S4" s="61"/>
      <c r="T4" s="61"/>
      <c r="U4" s="62"/>
      <c r="V4" s="58"/>
      <c r="W4" s="58"/>
      <c r="X4" s="58"/>
    </row>
    <row r="5">
      <c r="B5" s="20">
        <v>45841.0</v>
      </c>
      <c r="C5" s="21" t="s">
        <v>150</v>
      </c>
      <c r="D5" s="21" t="s">
        <v>15</v>
      </c>
      <c r="E5" s="22">
        <v>162145.0</v>
      </c>
      <c r="F5" s="12"/>
      <c r="G5" s="64"/>
      <c r="H5" s="61"/>
      <c r="I5" s="61"/>
      <c r="J5" s="61"/>
      <c r="K5" s="65"/>
      <c r="L5" s="64"/>
      <c r="M5" s="61"/>
      <c r="N5" s="61"/>
      <c r="O5" s="61"/>
      <c r="P5" s="65"/>
      <c r="Q5" s="66"/>
      <c r="R5" s="12"/>
      <c r="S5" s="12"/>
      <c r="T5" s="12"/>
      <c r="U5" s="67"/>
      <c r="V5" s="67"/>
      <c r="W5" s="67"/>
      <c r="X5" s="67"/>
    </row>
    <row r="6">
      <c r="B6" s="26">
        <v>45850.0</v>
      </c>
      <c r="C6" s="27" t="s">
        <v>151</v>
      </c>
      <c r="D6" s="27" t="s">
        <v>15</v>
      </c>
      <c r="E6" s="28">
        <v>54321.0</v>
      </c>
      <c r="F6" s="12"/>
      <c r="G6" s="64"/>
      <c r="H6" s="61"/>
      <c r="I6" s="61"/>
      <c r="J6" s="61"/>
      <c r="K6" s="65"/>
      <c r="L6" s="64"/>
      <c r="M6" s="61"/>
      <c r="N6" s="61"/>
      <c r="O6" s="61"/>
      <c r="P6" s="65"/>
      <c r="Q6" s="66"/>
      <c r="R6" s="12"/>
      <c r="S6" s="12"/>
      <c r="T6" s="12"/>
      <c r="U6" s="67"/>
      <c r="V6" s="67"/>
      <c r="W6" s="67"/>
      <c r="X6" s="67"/>
    </row>
    <row r="7">
      <c r="B7" s="20">
        <v>45857.0</v>
      </c>
      <c r="C7" s="21" t="s">
        <v>151</v>
      </c>
      <c r="D7" s="21" t="s">
        <v>15</v>
      </c>
      <c r="E7" s="22">
        <v>27927.0</v>
      </c>
      <c r="F7" s="12"/>
      <c r="G7" s="64"/>
      <c r="H7" s="61"/>
      <c r="I7" s="61"/>
      <c r="J7" s="61"/>
      <c r="K7" s="65"/>
      <c r="L7" s="64"/>
      <c r="M7" s="61"/>
      <c r="N7" s="61"/>
      <c r="O7" s="61"/>
      <c r="P7" s="65"/>
      <c r="Q7" s="66"/>
      <c r="R7" s="12"/>
      <c r="S7" s="12"/>
      <c r="T7" s="12"/>
      <c r="U7" s="67"/>
      <c r="V7" s="67"/>
      <c r="W7" s="67"/>
      <c r="X7" s="67"/>
    </row>
    <row r="8">
      <c r="B8" s="26">
        <v>45858.0</v>
      </c>
      <c r="C8" s="27" t="s">
        <v>151</v>
      </c>
      <c r="D8" s="27" t="s">
        <v>15</v>
      </c>
      <c r="E8" s="28">
        <v>14350.0</v>
      </c>
      <c r="F8" s="12"/>
      <c r="G8" s="64"/>
      <c r="H8" s="61"/>
      <c r="I8" s="61"/>
      <c r="J8" s="61"/>
      <c r="K8" s="65"/>
      <c r="L8" s="64"/>
      <c r="M8" s="61"/>
      <c r="N8" s="61"/>
      <c r="O8" s="61"/>
      <c r="P8" s="65"/>
      <c r="Q8" s="66"/>
      <c r="R8" s="12"/>
      <c r="S8" s="12"/>
      <c r="T8" s="12"/>
      <c r="U8" s="67"/>
      <c r="V8" s="67"/>
      <c r="W8" s="67"/>
      <c r="X8" s="67"/>
    </row>
    <row r="9">
      <c r="B9" s="20">
        <v>45842.0</v>
      </c>
      <c r="C9" s="21" t="s">
        <v>152</v>
      </c>
      <c r="D9" s="21" t="s">
        <v>15</v>
      </c>
      <c r="E9" s="22">
        <v>23000.0</v>
      </c>
      <c r="F9" s="12"/>
      <c r="G9" s="64"/>
      <c r="H9" s="61"/>
      <c r="I9" s="61"/>
      <c r="J9" s="61"/>
      <c r="K9" s="65"/>
      <c r="L9" s="64"/>
      <c r="M9" s="61"/>
      <c r="N9" s="61"/>
      <c r="O9" s="61"/>
      <c r="P9" s="65"/>
      <c r="Q9" s="66"/>
      <c r="R9" s="12"/>
      <c r="S9" s="12"/>
      <c r="T9" s="12"/>
      <c r="U9" s="67"/>
      <c r="V9" s="67"/>
      <c r="W9" s="67"/>
      <c r="X9" s="67"/>
    </row>
    <row r="10">
      <c r="B10" s="26">
        <v>45839.0</v>
      </c>
      <c r="C10" s="27" t="s">
        <v>95</v>
      </c>
      <c r="D10" s="27" t="s">
        <v>15</v>
      </c>
      <c r="E10" s="28">
        <v>34000.0</v>
      </c>
      <c r="F10" s="12"/>
      <c r="G10" s="64"/>
      <c r="H10" s="61"/>
      <c r="I10" s="61"/>
      <c r="J10" s="61"/>
      <c r="K10" s="65"/>
      <c r="L10" s="64"/>
      <c r="M10" s="61"/>
      <c r="N10" s="61"/>
      <c r="O10" s="61"/>
      <c r="P10" s="65"/>
      <c r="Q10" s="66"/>
      <c r="R10" s="12"/>
      <c r="S10" s="12"/>
      <c r="T10" s="12"/>
      <c r="U10" s="67"/>
      <c r="V10" s="67"/>
      <c r="W10" s="67"/>
      <c r="X10" s="67"/>
    </row>
    <row r="11">
      <c r="B11" s="20">
        <v>45841.0</v>
      </c>
      <c r="C11" s="21" t="s">
        <v>153</v>
      </c>
      <c r="D11" s="21" t="s">
        <v>15</v>
      </c>
      <c r="E11" s="22">
        <v>123369.0</v>
      </c>
      <c r="F11" s="12"/>
      <c r="G11" s="64"/>
      <c r="H11" s="61"/>
      <c r="I11" s="61"/>
      <c r="J11" s="61"/>
      <c r="K11" s="65"/>
      <c r="L11" s="64"/>
      <c r="M11" s="61"/>
      <c r="N11" s="61"/>
      <c r="O11" s="61"/>
      <c r="P11" s="65"/>
      <c r="Q11" s="66"/>
      <c r="R11" s="12"/>
      <c r="S11" s="12"/>
      <c r="T11" s="12"/>
      <c r="U11" s="67"/>
      <c r="V11" s="67"/>
      <c r="W11" s="67"/>
      <c r="X11" s="67"/>
    </row>
    <row r="12">
      <c r="B12" s="26">
        <v>45841.0</v>
      </c>
      <c r="C12" s="27" t="s">
        <v>154</v>
      </c>
      <c r="D12" s="27" t="s">
        <v>15</v>
      </c>
      <c r="E12" s="28">
        <v>8954.0</v>
      </c>
      <c r="F12" s="12"/>
      <c r="G12" s="64"/>
      <c r="H12" s="12"/>
      <c r="I12" s="61"/>
      <c r="J12" s="61"/>
      <c r="K12" s="12"/>
      <c r="L12" s="64"/>
      <c r="M12" s="61"/>
      <c r="N12" s="61"/>
      <c r="O12" s="61"/>
      <c r="P12" s="65"/>
      <c r="Q12" s="66"/>
      <c r="R12" s="12"/>
      <c r="S12" s="12"/>
      <c r="T12" s="12"/>
      <c r="U12" s="67"/>
      <c r="V12" s="67"/>
      <c r="W12" s="67"/>
      <c r="X12" s="67"/>
    </row>
    <row r="13">
      <c r="B13" s="20">
        <v>45841.0</v>
      </c>
      <c r="C13" s="21" t="s">
        <v>155</v>
      </c>
      <c r="D13" s="21" t="s">
        <v>15</v>
      </c>
      <c r="E13" s="22">
        <v>2048.0</v>
      </c>
      <c r="F13" s="12"/>
      <c r="G13" s="64"/>
      <c r="H13" s="12"/>
      <c r="I13" s="61"/>
      <c r="J13" s="61"/>
      <c r="K13" s="12"/>
      <c r="L13" s="64"/>
      <c r="M13" s="12"/>
      <c r="N13" s="61"/>
      <c r="O13" s="61"/>
      <c r="P13" s="12"/>
      <c r="Q13" s="66"/>
      <c r="R13" s="12"/>
      <c r="S13" s="12"/>
      <c r="T13" s="12"/>
      <c r="U13" s="67"/>
      <c r="V13" s="67"/>
      <c r="W13" s="67"/>
      <c r="X13" s="67"/>
    </row>
    <row r="14">
      <c r="B14" s="26">
        <v>45840.0</v>
      </c>
      <c r="C14" s="27" t="s">
        <v>156</v>
      </c>
      <c r="D14" s="27" t="s">
        <v>15</v>
      </c>
      <c r="E14" s="28">
        <v>30000.0</v>
      </c>
      <c r="G14" s="64"/>
      <c r="H14" s="12"/>
      <c r="I14" s="61"/>
      <c r="J14" s="61"/>
      <c r="K14" s="67"/>
      <c r="L14" s="64"/>
      <c r="M14" s="12"/>
      <c r="N14" s="61"/>
      <c r="O14" s="61"/>
      <c r="P14" s="67"/>
      <c r="Q14" s="66"/>
      <c r="R14" s="12"/>
      <c r="S14" s="12"/>
      <c r="T14" s="12"/>
      <c r="U14" s="67"/>
      <c r="V14" s="67"/>
      <c r="W14" s="67"/>
      <c r="X14" s="67"/>
    </row>
    <row r="15">
      <c r="B15" s="20">
        <v>45841.0</v>
      </c>
      <c r="C15" s="21" t="s">
        <v>157</v>
      </c>
      <c r="D15" s="21" t="s">
        <v>15</v>
      </c>
      <c r="E15" s="22">
        <v>55904.0</v>
      </c>
      <c r="G15" s="64"/>
      <c r="H15" s="12"/>
      <c r="I15" s="61"/>
      <c r="J15" s="61"/>
      <c r="K15" s="67"/>
      <c r="L15" s="64"/>
      <c r="M15" s="12"/>
      <c r="N15" s="61"/>
      <c r="O15" s="61"/>
      <c r="P15" s="67"/>
      <c r="Q15" s="66"/>
      <c r="R15" s="12"/>
      <c r="S15" s="12"/>
      <c r="T15" s="12"/>
      <c r="U15" s="67"/>
      <c r="V15" s="67"/>
      <c r="W15" s="67"/>
      <c r="X15" s="67"/>
    </row>
    <row r="16">
      <c r="B16" s="26">
        <v>45842.0</v>
      </c>
      <c r="C16" s="27" t="s">
        <v>158</v>
      </c>
      <c r="D16" s="27" t="s">
        <v>15</v>
      </c>
      <c r="E16" s="28">
        <v>100000.0</v>
      </c>
      <c r="G16" s="64"/>
      <c r="H16" s="12"/>
      <c r="I16" s="61"/>
      <c r="J16" s="61"/>
      <c r="K16" s="67"/>
      <c r="L16" s="64"/>
      <c r="M16" s="12"/>
      <c r="N16" s="61"/>
      <c r="O16" s="61"/>
      <c r="P16" s="67"/>
      <c r="Q16" s="66"/>
      <c r="R16" s="12"/>
      <c r="S16" s="12"/>
      <c r="T16" s="12"/>
      <c r="U16" s="67"/>
      <c r="V16" s="67"/>
      <c r="W16" s="67"/>
      <c r="X16" s="67"/>
    </row>
    <row r="17">
      <c r="B17" s="20">
        <v>45852.0</v>
      </c>
      <c r="C17" s="21" t="s">
        <v>156</v>
      </c>
      <c r="D17" s="21" t="s">
        <v>15</v>
      </c>
      <c r="E17" s="22">
        <v>75000.0</v>
      </c>
      <c r="G17" s="64"/>
      <c r="H17" s="12"/>
      <c r="I17" s="61"/>
      <c r="J17" s="61"/>
      <c r="K17" s="67"/>
      <c r="L17" s="64"/>
      <c r="M17" s="12"/>
      <c r="N17" s="61"/>
      <c r="O17" s="61"/>
      <c r="P17" s="67"/>
      <c r="Q17" s="66"/>
      <c r="R17" s="12"/>
      <c r="S17" s="12"/>
      <c r="T17" s="12"/>
      <c r="U17" s="67"/>
      <c r="V17" s="67"/>
      <c r="W17" s="67"/>
      <c r="X17" s="67"/>
    </row>
    <row r="18">
      <c r="B18" s="26">
        <v>45855.0</v>
      </c>
      <c r="C18" s="27" t="s">
        <v>159</v>
      </c>
      <c r="D18" s="27" t="s">
        <v>15</v>
      </c>
      <c r="E18" s="28">
        <v>100000.0</v>
      </c>
      <c r="G18" s="64"/>
      <c r="H18" s="12"/>
      <c r="I18" s="61"/>
      <c r="J18" s="61"/>
      <c r="K18" s="67"/>
      <c r="L18" s="64"/>
      <c r="M18" s="12"/>
      <c r="N18" s="61"/>
      <c r="O18" s="61"/>
      <c r="P18" s="67"/>
      <c r="Q18" s="66"/>
      <c r="R18" s="12"/>
      <c r="S18" s="12"/>
      <c r="T18" s="12"/>
      <c r="U18" s="67"/>
      <c r="V18" s="67"/>
      <c r="W18" s="67"/>
      <c r="X18" s="67"/>
    </row>
    <row r="19">
      <c r="B19" s="20">
        <v>45856.0</v>
      </c>
      <c r="C19" s="21" t="s">
        <v>160</v>
      </c>
      <c r="D19" s="21" t="s">
        <v>15</v>
      </c>
      <c r="E19" s="22">
        <v>102322.0</v>
      </c>
      <c r="G19" s="64"/>
      <c r="H19" s="12"/>
      <c r="I19" s="61"/>
      <c r="J19" s="12"/>
      <c r="K19" s="67"/>
      <c r="L19" s="64"/>
      <c r="M19" s="12"/>
      <c r="N19" s="61"/>
      <c r="P19" s="67"/>
      <c r="Q19" s="66"/>
      <c r="R19" s="12"/>
      <c r="S19" s="12"/>
      <c r="T19" s="12"/>
      <c r="U19" s="67"/>
      <c r="V19" s="67"/>
      <c r="W19" s="67"/>
      <c r="X19" s="67"/>
    </row>
    <row r="20">
      <c r="B20" s="26">
        <v>45858.0</v>
      </c>
      <c r="C20" s="27" t="s">
        <v>161</v>
      </c>
      <c r="D20" s="27" t="s">
        <v>15</v>
      </c>
      <c r="E20" s="28">
        <v>65000.0</v>
      </c>
      <c r="G20" s="66"/>
      <c r="H20" s="12"/>
      <c r="I20" s="12"/>
      <c r="J20" s="12"/>
      <c r="K20" s="67"/>
      <c r="L20" s="66"/>
      <c r="M20" s="12"/>
      <c r="N20" s="61"/>
      <c r="O20" s="12"/>
      <c r="P20" s="67"/>
      <c r="Q20" s="66"/>
      <c r="R20" s="12"/>
      <c r="S20" s="12"/>
      <c r="T20" s="12"/>
      <c r="U20" s="67"/>
      <c r="V20" s="67"/>
      <c r="X20" s="67"/>
    </row>
    <row r="21">
      <c r="B21" s="20">
        <v>45865.0</v>
      </c>
      <c r="C21" s="21" t="s">
        <v>156</v>
      </c>
      <c r="D21" s="21" t="s">
        <v>15</v>
      </c>
      <c r="E21" s="22">
        <v>60000.0</v>
      </c>
      <c r="G21" s="66"/>
      <c r="H21" s="12"/>
      <c r="I21" s="12"/>
      <c r="J21" s="12"/>
      <c r="K21" s="67"/>
      <c r="L21" s="66"/>
      <c r="M21" s="12"/>
      <c r="N21" s="12"/>
      <c r="O21" s="12"/>
      <c r="P21" s="67"/>
      <c r="Q21" s="66"/>
      <c r="R21" s="12"/>
      <c r="S21" s="12"/>
      <c r="T21" s="12"/>
      <c r="U21" s="67"/>
      <c r="V21" s="67"/>
      <c r="W21" s="67"/>
      <c r="X21" s="67"/>
    </row>
    <row r="22">
      <c r="B22" s="37" t="s">
        <v>48</v>
      </c>
      <c r="C22" s="2"/>
      <c r="D22" s="2"/>
      <c r="E22" s="38">
        <f>SUM(E5:E21)</f>
        <v>1038340</v>
      </c>
      <c r="G22" s="71"/>
      <c r="H22" s="12"/>
      <c r="I22" s="12"/>
      <c r="J22" s="71"/>
      <c r="K22" s="70"/>
      <c r="L22" s="71"/>
      <c r="M22" s="12"/>
      <c r="N22" s="12"/>
      <c r="O22" s="71"/>
      <c r="P22" s="70"/>
      <c r="Q22" s="71"/>
      <c r="R22" s="12"/>
      <c r="S22" s="12"/>
      <c r="T22" s="71"/>
      <c r="U22" s="70"/>
      <c r="V22" s="70"/>
      <c r="W22" s="70"/>
      <c r="X22" s="70"/>
    </row>
    <row r="23">
      <c r="B23" s="48"/>
      <c r="G23" s="71"/>
      <c r="U23" s="79"/>
      <c r="V23" s="76"/>
      <c r="W23" s="76"/>
      <c r="X23" s="76"/>
    </row>
    <row r="24">
      <c r="V24" s="80"/>
    </row>
    <row r="26">
      <c r="T26" s="81"/>
      <c r="U26" s="67"/>
      <c r="V26" s="67"/>
      <c r="W26" s="67"/>
      <c r="X26" s="67"/>
    </row>
    <row r="27">
      <c r="T27" s="81"/>
      <c r="U27" s="67"/>
      <c r="V27" s="67"/>
      <c r="W27" s="67"/>
      <c r="X27" s="67"/>
    </row>
    <row r="28">
      <c r="T28" s="75"/>
      <c r="U28" s="76"/>
      <c r="V28" s="76"/>
      <c r="W28" s="76"/>
      <c r="X28" s="76"/>
    </row>
    <row r="35">
      <c r="Q35" s="82"/>
    </row>
    <row r="49">
      <c r="U49" s="83">
        <v>3195.0</v>
      </c>
    </row>
    <row r="52">
      <c r="Q52" s="82"/>
    </row>
    <row r="65">
      <c r="Q65" s="82"/>
    </row>
  </sheetData>
  <mergeCells count="12">
    <mergeCell ref="B23:E23"/>
    <mergeCell ref="G23:T23"/>
    <mergeCell ref="Q35:U48"/>
    <mergeCell ref="Q52:U63"/>
    <mergeCell ref="Q65:U70"/>
    <mergeCell ref="B2:E2"/>
    <mergeCell ref="G2:U2"/>
    <mergeCell ref="B3:E3"/>
    <mergeCell ref="G3:K3"/>
    <mergeCell ref="L3:P3"/>
    <mergeCell ref="Q3:U3"/>
    <mergeCell ref="B22:D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32.63"/>
    <col customWidth="1" min="4" max="4" width="14.5"/>
    <col customWidth="1" min="5" max="5" width="11.25"/>
    <col customWidth="1" min="6" max="6" width="3.75"/>
    <col customWidth="1" min="7" max="7" width="15.0"/>
    <col customWidth="1" min="8" max="8" width="16.88"/>
    <col customWidth="1" min="9" max="9" width="20.0"/>
    <col customWidth="1" min="10" max="10" width="17.63"/>
    <col customWidth="1" min="13" max="13" width="18.25"/>
    <col customWidth="1" min="14" max="14" width="21.13"/>
    <col customWidth="1" min="15" max="15" width="17.88"/>
    <col customWidth="1" min="18" max="18" width="14.5"/>
    <col customWidth="1" min="19" max="19" width="17.63"/>
    <col customWidth="1" min="20" max="20" width="18.13"/>
  </cols>
  <sheetData>
    <row r="2">
      <c r="B2" s="1" t="s">
        <v>0</v>
      </c>
      <c r="C2" s="2"/>
      <c r="D2" s="2"/>
      <c r="E2" s="3"/>
      <c r="G2" s="58"/>
    </row>
    <row r="3">
      <c r="B3" s="4" t="s">
        <v>2</v>
      </c>
      <c r="C3" s="5"/>
      <c r="D3" s="5"/>
      <c r="E3" s="6"/>
      <c r="G3" s="59"/>
      <c r="L3" s="58"/>
      <c r="Q3" s="58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2"/>
      <c r="G4" s="60"/>
      <c r="H4" s="61"/>
      <c r="I4" s="60"/>
      <c r="J4" s="61"/>
      <c r="K4" s="62"/>
      <c r="L4" s="63"/>
      <c r="M4" s="63"/>
      <c r="N4" s="63"/>
      <c r="O4" s="63"/>
      <c r="P4" s="58"/>
      <c r="Q4" s="63"/>
      <c r="R4" s="63"/>
      <c r="S4" s="63"/>
      <c r="T4" s="63"/>
      <c r="U4" s="58"/>
    </row>
    <row r="5">
      <c r="B5" s="20">
        <v>45870.0</v>
      </c>
      <c r="C5" s="21" t="s">
        <v>162</v>
      </c>
      <c r="D5" s="21" t="s">
        <v>15</v>
      </c>
      <c r="E5" s="22">
        <v>122580.0</v>
      </c>
      <c r="F5" s="12"/>
      <c r="G5" s="64"/>
      <c r="H5" s="61"/>
      <c r="I5" s="61"/>
      <c r="J5" s="61"/>
      <c r="K5" s="65"/>
      <c r="L5" s="64"/>
      <c r="M5" s="61"/>
      <c r="N5" s="61"/>
      <c r="O5" s="61"/>
      <c r="P5" s="65"/>
      <c r="Q5" s="66"/>
      <c r="R5" s="12"/>
      <c r="S5" s="12"/>
      <c r="T5" s="12"/>
      <c r="U5" s="67"/>
    </row>
    <row r="6">
      <c r="B6" s="26">
        <v>45874.0</v>
      </c>
      <c r="C6" s="27" t="s">
        <v>139</v>
      </c>
      <c r="D6" s="27" t="s">
        <v>15</v>
      </c>
      <c r="E6" s="28">
        <v>23000.0</v>
      </c>
      <c r="F6" s="12"/>
      <c r="G6" s="64"/>
      <c r="H6" s="61"/>
      <c r="I6" s="61"/>
      <c r="J6" s="61"/>
      <c r="K6" s="65"/>
      <c r="L6" s="64"/>
      <c r="M6" s="61"/>
      <c r="N6" s="61"/>
      <c r="O6" s="61"/>
      <c r="P6" s="65"/>
      <c r="Q6" s="66"/>
      <c r="R6" s="12"/>
      <c r="S6" s="12"/>
      <c r="T6" s="12"/>
      <c r="U6" s="67"/>
    </row>
    <row r="7">
      <c r="B7" s="20">
        <v>45875.0</v>
      </c>
      <c r="C7" s="21" t="s">
        <v>163</v>
      </c>
      <c r="D7" s="21" t="s">
        <v>15</v>
      </c>
      <c r="E7" s="22">
        <v>9280.0</v>
      </c>
      <c r="F7" s="12"/>
      <c r="G7" s="64"/>
      <c r="H7" s="61"/>
      <c r="I7" s="61"/>
      <c r="J7" s="61"/>
      <c r="K7" s="65"/>
      <c r="L7" s="64"/>
      <c r="M7" s="61"/>
      <c r="N7" s="61"/>
      <c r="O7" s="61"/>
      <c r="P7" s="65"/>
      <c r="Q7" s="66"/>
      <c r="R7" s="12"/>
      <c r="S7" s="12"/>
      <c r="T7" s="12"/>
      <c r="U7" s="67"/>
    </row>
    <row r="8">
      <c r="B8" s="26">
        <v>45875.0</v>
      </c>
      <c r="C8" s="27" t="s">
        <v>164</v>
      </c>
      <c r="D8" s="27" t="s">
        <v>15</v>
      </c>
      <c r="E8" s="28">
        <v>8955.0</v>
      </c>
      <c r="F8" s="12"/>
      <c r="G8" s="64"/>
      <c r="H8" s="61"/>
      <c r="I8" s="61"/>
      <c r="J8" s="61"/>
      <c r="K8" s="65"/>
      <c r="L8" s="64"/>
      <c r="M8" s="61"/>
      <c r="N8" s="61"/>
      <c r="O8" s="61"/>
      <c r="P8" s="65"/>
      <c r="Q8" s="66"/>
      <c r="R8" s="12"/>
      <c r="S8" s="12"/>
      <c r="T8" s="12"/>
      <c r="U8" s="67"/>
    </row>
    <row r="9">
      <c r="B9" s="20">
        <v>45875.0</v>
      </c>
      <c r="C9" s="21" t="s">
        <v>164</v>
      </c>
      <c r="D9" s="21" t="s">
        <v>15</v>
      </c>
      <c r="E9" s="22">
        <v>1450.0</v>
      </c>
      <c r="F9" s="12"/>
      <c r="G9" s="64"/>
      <c r="H9" s="61"/>
      <c r="I9" s="61"/>
      <c r="J9" s="61"/>
      <c r="K9" s="65"/>
      <c r="L9" s="64"/>
      <c r="M9" s="61"/>
      <c r="N9" s="61"/>
      <c r="O9" s="61"/>
      <c r="P9" s="65"/>
      <c r="Q9" s="66"/>
      <c r="R9" s="12"/>
      <c r="S9" s="12"/>
      <c r="T9" s="12"/>
      <c r="U9" s="67"/>
    </row>
    <row r="10">
      <c r="B10" s="26">
        <v>45879.0</v>
      </c>
      <c r="C10" s="27" t="s">
        <v>165</v>
      </c>
      <c r="D10" s="27" t="s">
        <v>15</v>
      </c>
      <c r="E10" s="28">
        <v>13795.0</v>
      </c>
      <c r="F10" s="12"/>
      <c r="G10" s="64"/>
      <c r="H10" s="61"/>
      <c r="I10" s="61"/>
      <c r="J10" s="61"/>
      <c r="K10" s="65"/>
      <c r="L10" s="64"/>
      <c r="M10" s="61"/>
      <c r="N10" s="61"/>
      <c r="O10" s="61"/>
      <c r="P10" s="65"/>
      <c r="Q10" s="66"/>
      <c r="R10" s="12"/>
      <c r="S10" s="12"/>
      <c r="T10" s="12"/>
      <c r="U10" s="67"/>
    </row>
    <row r="11">
      <c r="B11" s="20">
        <v>45892.0</v>
      </c>
      <c r="C11" s="21" t="s">
        <v>166</v>
      </c>
      <c r="D11" s="21" t="s">
        <v>15</v>
      </c>
      <c r="E11" s="22">
        <v>33628.0</v>
      </c>
      <c r="F11" s="12"/>
      <c r="G11" s="64"/>
      <c r="H11" s="61"/>
      <c r="I11" s="61"/>
      <c r="J11" s="61"/>
      <c r="K11" s="65"/>
      <c r="L11" s="64"/>
      <c r="M11" s="61"/>
      <c r="N11" s="61"/>
      <c r="O11" s="61"/>
      <c r="P11" s="65"/>
      <c r="Q11" s="66"/>
      <c r="R11" s="12"/>
      <c r="S11" s="12"/>
      <c r="T11" s="12"/>
      <c r="U11" s="67"/>
    </row>
    <row r="12">
      <c r="B12" s="26">
        <v>45899.0</v>
      </c>
      <c r="C12" s="27" t="s">
        <v>165</v>
      </c>
      <c r="D12" s="27" t="s">
        <v>15</v>
      </c>
      <c r="E12" s="28">
        <v>5700.0</v>
      </c>
      <c r="F12" s="12"/>
      <c r="G12" s="64"/>
      <c r="H12" s="12"/>
      <c r="I12" s="61"/>
      <c r="J12" s="61"/>
      <c r="K12" s="12"/>
      <c r="L12" s="64"/>
      <c r="M12" s="61"/>
      <c r="N12" s="61"/>
      <c r="O12" s="61"/>
      <c r="P12" s="65"/>
      <c r="Q12" s="66"/>
      <c r="R12" s="12"/>
      <c r="S12" s="12"/>
      <c r="T12" s="12"/>
      <c r="U12" s="67"/>
    </row>
    <row r="13">
      <c r="B13" s="20">
        <v>45872.0</v>
      </c>
      <c r="C13" s="21" t="s">
        <v>167</v>
      </c>
      <c r="D13" s="21" t="s">
        <v>15</v>
      </c>
      <c r="E13" s="22">
        <v>82500.0</v>
      </c>
      <c r="F13" s="12"/>
      <c r="G13" s="64"/>
      <c r="H13" s="12"/>
      <c r="I13" s="61"/>
      <c r="J13" s="61"/>
      <c r="K13" s="12"/>
      <c r="L13" s="64"/>
      <c r="M13" s="12"/>
      <c r="N13" s="61"/>
      <c r="O13" s="61"/>
      <c r="P13" s="12"/>
      <c r="Q13" s="66"/>
      <c r="R13" s="12"/>
      <c r="S13" s="12"/>
      <c r="T13" s="12"/>
      <c r="U13" s="67"/>
    </row>
    <row r="14">
      <c r="B14" s="26">
        <v>45872.0</v>
      </c>
      <c r="C14" s="27" t="s">
        <v>168</v>
      </c>
      <c r="D14" s="27" t="s">
        <v>15</v>
      </c>
      <c r="E14" s="28">
        <v>80000.0</v>
      </c>
      <c r="G14" s="64"/>
      <c r="H14" s="12"/>
      <c r="I14" s="61"/>
      <c r="J14" s="61"/>
      <c r="K14" s="67"/>
      <c r="L14" s="64"/>
      <c r="M14" s="12"/>
      <c r="N14" s="61"/>
      <c r="O14" s="61"/>
      <c r="P14" s="67"/>
      <c r="Q14" s="66"/>
      <c r="R14" s="12"/>
      <c r="S14" s="12"/>
      <c r="T14" s="12"/>
      <c r="U14" s="67"/>
    </row>
    <row r="15">
      <c r="B15" s="20">
        <v>45880.0</v>
      </c>
      <c r="C15" s="21" t="s">
        <v>169</v>
      </c>
      <c r="D15" s="21" t="s">
        <v>15</v>
      </c>
      <c r="E15" s="22">
        <v>21776.71</v>
      </c>
      <c r="G15" s="64"/>
      <c r="H15" s="12"/>
      <c r="I15" s="61"/>
      <c r="J15" s="61"/>
      <c r="K15" s="67"/>
      <c r="L15" s="64"/>
      <c r="M15" s="12"/>
      <c r="N15" s="61"/>
      <c r="O15" s="61"/>
      <c r="P15" s="67"/>
      <c r="Q15" s="66"/>
      <c r="R15" s="12"/>
      <c r="S15" s="12"/>
      <c r="T15" s="12"/>
      <c r="U15" s="67"/>
    </row>
    <row r="16">
      <c r="B16" s="26">
        <v>45880.0</v>
      </c>
      <c r="C16" s="27" t="s">
        <v>170</v>
      </c>
      <c r="D16" s="27" t="s">
        <v>15</v>
      </c>
      <c r="E16" s="28">
        <v>2048.0</v>
      </c>
      <c r="G16" s="64"/>
      <c r="H16" s="12"/>
      <c r="I16" s="61"/>
      <c r="J16" s="61"/>
      <c r="K16" s="67"/>
      <c r="L16" s="64"/>
      <c r="M16" s="12"/>
      <c r="N16" s="61"/>
      <c r="O16" s="61"/>
      <c r="P16" s="67"/>
      <c r="Q16" s="66"/>
      <c r="R16" s="12"/>
      <c r="S16" s="12"/>
      <c r="T16" s="12"/>
      <c r="U16" s="67"/>
    </row>
    <row r="17">
      <c r="B17" s="20">
        <v>45880.0</v>
      </c>
      <c r="C17" s="21" t="s">
        <v>171</v>
      </c>
      <c r="D17" s="21" t="s">
        <v>15</v>
      </c>
      <c r="E17" s="22">
        <v>12633.0</v>
      </c>
      <c r="G17" s="64"/>
      <c r="H17" s="12"/>
      <c r="I17" s="61"/>
      <c r="J17" s="61"/>
      <c r="K17" s="67"/>
      <c r="L17" s="64"/>
      <c r="M17" s="12"/>
      <c r="N17" s="61"/>
      <c r="O17" s="61"/>
      <c r="P17" s="67"/>
      <c r="Q17" s="66"/>
      <c r="R17" s="12"/>
      <c r="S17" s="12"/>
      <c r="T17" s="12"/>
      <c r="U17" s="67"/>
    </row>
    <row r="18">
      <c r="B18" s="26">
        <v>45880.0</v>
      </c>
      <c r="C18" s="27" t="s">
        <v>172</v>
      </c>
      <c r="D18" s="27" t="s">
        <v>15</v>
      </c>
      <c r="E18" s="28">
        <v>136914.0</v>
      </c>
      <c r="G18" s="64"/>
      <c r="H18" s="12"/>
      <c r="I18" s="61"/>
      <c r="J18" s="61"/>
      <c r="K18" s="67"/>
      <c r="L18" s="64"/>
      <c r="M18" s="12"/>
      <c r="N18" s="61"/>
      <c r="O18" s="61"/>
      <c r="P18" s="67"/>
      <c r="Q18" s="66"/>
      <c r="R18" s="12"/>
      <c r="S18" s="12"/>
      <c r="T18" s="12"/>
      <c r="U18" s="67"/>
    </row>
    <row r="19">
      <c r="B19" s="20">
        <v>45890.0</v>
      </c>
      <c r="C19" s="21" t="s">
        <v>173</v>
      </c>
      <c r="D19" s="21" t="s">
        <v>15</v>
      </c>
      <c r="E19" s="22">
        <v>148000.0</v>
      </c>
      <c r="G19" s="64"/>
      <c r="H19" s="12"/>
      <c r="I19" s="61"/>
      <c r="J19" s="12"/>
      <c r="K19" s="67"/>
      <c r="L19" s="64"/>
      <c r="M19" s="12"/>
      <c r="N19" s="61"/>
      <c r="P19" s="67"/>
      <c r="Q19" s="66"/>
      <c r="R19" s="12"/>
      <c r="S19" s="12"/>
      <c r="T19" s="12"/>
      <c r="U19" s="67"/>
    </row>
    <row r="20">
      <c r="B20" s="26">
        <v>45874.0</v>
      </c>
      <c r="C20" s="27" t="s">
        <v>95</v>
      </c>
      <c r="D20" s="27" t="s">
        <v>15</v>
      </c>
      <c r="E20" s="28">
        <v>18000.0</v>
      </c>
      <c r="G20" s="66"/>
      <c r="H20" s="12"/>
      <c r="I20" s="12"/>
      <c r="J20" s="12"/>
      <c r="K20" s="67"/>
      <c r="L20" s="66"/>
      <c r="M20" s="12"/>
      <c r="N20" s="61"/>
      <c r="O20" s="12"/>
      <c r="P20" s="67"/>
      <c r="Q20" s="66"/>
      <c r="R20" s="12"/>
      <c r="S20" s="12"/>
      <c r="T20" s="12"/>
      <c r="U20" s="67"/>
    </row>
    <row r="21">
      <c r="B21" s="37" t="s">
        <v>48</v>
      </c>
      <c r="C21" s="2"/>
      <c r="D21" s="2"/>
      <c r="E21" s="38">
        <f>SUM(E5:E20)</f>
        <v>720259.71</v>
      </c>
      <c r="G21" s="68"/>
      <c r="H21" s="69"/>
      <c r="I21" s="69"/>
      <c r="J21" s="68"/>
      <c r="K21" s="70"/>
      <c r="L21" s="71"/>
      <c r="M21" s="12"/>
      <c r="N21" s="12"/>
      <c r="O21" s="72"/>
      <c r="P21" s="70"/>
      <c r="Q21" s="71"/>
      <c r="R21" s="12"/>
      <c r="S21" s="12"/>
      <c r="T21" s="72"/>
      <c r="U21" s="70"/>
    </row>
    <row r="22">
      <c r="B22" s="48"/>
      <c r="G22" s="72"/>
      <c r="U22" s="76"/>
    </row>
    <row r="25">
      <c r="T25" s="75"/>
      <c r="U25" s="67"/>
    </row>
    <row r="26">
      <c r="T26" s="75"/>
      <c r="U26" s="67"/>
    </row>
    <row r="27">
      <c r="T27" s="75"/>
      <c r="U27" s="76"/>
    </row>
  </sheetData>
  <mergeCells count="9">
    <mergeCell ref="B22:E22"/>
    <mergeCell ref="G22:T22"/>
    <mergeCell ref="B2:E2"/>
    <mergeCell ref="G2:U2"/>
    <mergeCell ref="B3:E3"/>
    <mergeCell ref="G3:K3"/>
    <mergeCell ref="L3:P3"/>
    <mergeCell ref="Q3:U3"/>
    <mergeCell ref="B21:D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34.0"/>
    <col customWidth="1" min="4" max="4" width="14.5"/>
    <col customWidth="1" min="5" max="5" width="11.25"/>
    <col customWidth="1" min="6" max="6" width="3.75"/>
    <col customWidth="1" min="7" max="7" width="15.0"/>
    <col customWidth="1" min="8" max="8" width="16.88"/>
    <col customWidth="1" min="9" max="9" width="20.0"/>
    <col customWidth="1" min="10" max="10" width="17.63"/>
    <col customWidth="1" min="13" max="13" width="18.25"/>
    <col customWidth="1" min="14" max="14" width="21.13"/>
    <col customWidth="1" min="15" max="15" width="17.88"/>
    <col customWidth="1" min="18" max="18" width="14.5"/>
    <col customWidth="1" min="19" max="19" width="17.63"/>
    <col customWidth="1" min="20" max="20" width="18.13"/>
  </cols>
  <sheetData>
    <row r="2">
      <c r="B2" s="1" t="s">
        <v>0</v>
      </c>
      <c r="C2" s="2"/>
      <c r="D2" s="2"/>
      <c r="E2" s="3"/>
      <c r="G2" s="58"/>
    </row>
    <row r="3">
      <c r="B3" s="4" t="s">
        <v>2</v>
      </c>
      <c r="C3" s="5"/>
      <c r="D3" s="5"/>
      <c r="E3" s="6"/>
      <c r="G3" s="59"/>
      <c r="L3" s="58"/>
      <c r="Q3" s="58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2"/>
      <c r="G4" s="60"/>
      <c r="H4" s="61"/>
      <c r="I4" s="60"/>
      <c r="J4" s="61"/>
      <c r="K4" s="62"/>
      <c r="L4" s="63"/>
      <c r="M4" s="63"/>
      <c r="N4" s="63"/>
      <c r="O4" s="63"/>
      <c r="P4" s="58"/>
      <c r="Q4" s="63"/>
      <c r="R4" s="63"/>
      <c r="S4" s="63"/>
      <c r="T4" s="63"/>
      <c r="U4" s="58"/>
    </row>
    <row r="5">
      <c r="B5" s="20">
        <v>45903.0</v>
      </c>
      <c r="C5" s="21" t="s">
        <v>174</v>
      </c>
      <c r="D5" s="21" t="s">
        <v>15</v>
      </c>
      <c r="E5" s="22">
        <v>84120.51</v>
      </c>
      <c r="F5" s="12"/>
      <c r="G5" s="64"/>
      <c r="H5" s="61"/>
      <c r="I5" s="61"/>
      <c r="J5" s="61"/>
      <c r="K5" s="65"/>
      <c r="L5" s="64"/>
      <c r="M5" s="61"/>
      <c r="N5" s="61"/>
      <c r="O5" s="61"/>
      <c r="P5" s="65"/>
      <c r="Q5" s="66"/>
      <c r="R5" s="12"/>
      <c r="S5" s="12"/>
      <c r="T5" s="12"/>
      <c r="U5" s="67"/>
    </row>
    <row r="6">
      <c r="B6" s="26">
        <v>45903.0</v>
      </c>
      <c r="C6" s="27" t="s">
        <v>172</v>
      </c>
      <c r="D6" s="27" t="s">
        <v>15</v>
      </c>
      <c r="E6" s="28">
        <v>118349.0</v>
      </c>
      <c r="F6" s="12"/>
      <c r="G6" s="64"/>
      <c r="H6" s="61"/>
      <c r="I6" s="61"/>
      <c r="J6" s="61"/>
      <c r="K6" s="65"/>
      <c r="L6" s="64"/>
      <c r="M6" s="61"/>
      <c r="N6" s="61"/>
      <c r="O6" s="61"/>
      <c r="P6" s="65"/>
      <c r="Q6" s="66"/>
      <c r="R6" s="12"/>
      <c r="S6" s="12"/>
      <c r="T6" s="12"/>
      <c r="U6" s="67"/>
    </row>
    <row r="7">
      <c r="B7" s="20">
        <v>45903.0</v>
      </c>
      <c r="C7" s="21" t="s">
        <v>171</v>
      </c>
      <c r="D7" s="21" t="s">
        <v>15</v>
      </c>
      <c r="E7" s="22">
        <v>11176.0</v>
      </c>
      <c r="F7" s="12"/>
      <c r="G7" s="64"/>
      <c r="H7" s="61"/>
      <c r="I7" s="61"/>
      <c r="J7" s="61"/>
      <c r="K7" s="65"/>
      <c r="L7" s="64"/>
      <c r="M7" s="61"/>
      <c r="N7" s="61"/>
      <c r="O7" s="61"/>
      <c r="P7" s="65"/>
      <c r="Q7" s="66"/>
      <c r="R7" s="12"/>
      <c r="S7" s="12"/>
      <c r="T7" s="12"/>
      <c r="U7" s="67"/>
    </row>
    <row r="8">
      <c r="B8" s="26">
        <v>45903.0</v>
      </c>
      <c r="C8" s="27" t="s">
        <v>170</v>
      </c>
      <c r="D8" s="27" t="s">
        <v>15</v>
      </c>
      <c r="E8" s="28">
        <v>1048.0</v>
      </c>
      <c r="F8" s="12"/>
      <c r="G8" s="64"/>
      <c r="H8" s="61"/>
      <c r="I8" s="61"/>
      <c r="J8" s="61"/>
      <c r="K8" s="65"/>
      <c r="L8" s="64"/>
      <c r="M8" s="61"/>
      <c r="N8" s="61"/>
      <c r="O8" s="61"/>
      <c r="P8" s="65"/>
      <c r="Q8" s="66"/>
      <c r="R8" s="12"/>
      <c r="S8" s="12"/>
      <c r="T8" s="12"/>
      <c r="U8" s="67"/>
    </row>
    <row r="9">
      <c r="B9" s="20">
        <v>45903.0</v>
      </c>
      <c r="C9" s="21" t="s">
        <v>175</v>
      </c>
      <c r="D9" s="21" t="s">
        <v>15</v>
      </c>
      <c r="E9" s="22">
        <v>115000.0</v>
      </c>
      <c r="F9" s="12"/>
      <c r="G9" s="64"/>
      <c r="H9" s="61"/>
      <c r="I9" s="61"/>
      <c r="J9" s="61"/>
      <c r="K9" s="65"/>
      <c r="L9" s="64"/>
      <c r="M9" s="61"/>
      <c r="N9" s="61"/>
      <c r="O9" s="61"/>
      <c r="P9" s="65"/>
      <c r="Q9" s="66"/>
      <c r="R9" s="12"/>
      <c r="S9" s="12"/>
      <c r="T9" s="12"/>
      <c r="U9" s="67"/>
    </row>
    <row r="10">
      <c r="B10" s="26">
        <v>45905.0</v>
      </c>
      <c r="C10" s="27" t="s">
        <v>95</v>
      </c>
      <c r="D10" s="27" t="s">
        <v>15</v>
      </c>
      <c r="E10" s="28">
        <v>18000.0</v>
      </c>
      <c r="F10" s="12"/>
      <c r="G10" s="64"/>
      <c r="H10" s="61"/>
      <c r="I10" s="61"/>
      <c r="J10" s="61"/>
      <c r="K10" s="65"/>
      <c r="L10" s="64"/>
      <c r="M10" s="61"/>
      <c r="N10" s="61"/>
      <c r="O10" s="61"/>
      <c r="P10" s="65"/>
      <c r="Q10" s="66"/>
      <c r="R10" s="12"/>
      <c r="S10" s="12"/>
      <c r="T10" s="12"/>
      <c r="U10" s="67"/>
    </row>
    <row r="11">
      <c r="B11" s="20">
        <v>45906.0</v>
      </c>
      <c r="C11" s="21" t="s">
        <v>165</v>
      </c>
      <c r="D11" s="21" t="s">
        <v>15</v>
      </c>
      <c r="E11" s="22">
        <v>9140.0</v>
      </c>
      <c r="F11" s="12"/>
      <c r="G11" s="64"/>
      <c r="H11" s="61"/>
      <c r="I11" s="61"/>
      <c r="J11" s="61"/>
      <c r="K11" s="65"/>
      <c r="L11" s="64"/>
      <c r="M11" s="61"/>
      <c r="N11" s="61"/>
      <c r="O11" s="61"/>
      <c r="P11" s="65"/>
      <c r="Q11" s="66"/>
      <c r="R11" s="12"/>
      <c r="S11" s="12"/>
      <c r="T11" s="12"/>
      <c r="U11" s="67"/>
    </row>
    <row r="12">
      <c r="B12" s="26">
        <v>45909.0</v>
      </c>
      <c r="C12" s="27" t="s">
        <v>176</v>
      </c>
      <c r="D12" s="27" t="s">
        <v>15</v>
      </c>
      <c r="E12" s="28">
        <v>24000.0</v>
      </c>
      <c r="F12" s="12"/>
      <c r="G12" s="64"/>
      <c r="H12" s="12"/>
      <c r="I12" s="61"/>
      <c r="J12" s="61"/>
      <c r="K12" s="12"/>
      <c r="L12" s="64"/>
      <c r="M12" s="61"/>
      <c r="N12" s="61"/>
      <c r="O12" s="61"/>
      <c r="P12" s="65"/>
      <c r="Q12" s="66"/>
      <c r="R12" s="12"/>
      <c r="S12" s="12"/>
      <c r="T12" s="12"/>
      <c r="U12" s="67"/>
    </row>
    <row r="13">
      <c r="B13" s="20">
        <v>45901.0</v>
      </c>
      <c r="C13" s="21" t="s">
        <v>162</v>
      </c>
      <c r="D13" s="21" t="s">
        <v>15</v>
      </c>
      <c r="E13" s="22">
        <v>65160.0</v>
      </c>
      <c r="F13" s="12"/>
      <c r="G13" s="64"/>
      <c r="H13" s="12"/>
      <c r="I13" s="61"/>
      <c r="J13" s="61"/>
      <c r="K13" s="12"/>
      <c r="L13" s="64"/>
      <c r="M13" s="12"/>
      <c r="N13" s="61"/>
      <c r="O13" s="61"/>
      <c r="P13" s="12"/>
      <c r="Q13" s="66"/>
      <c r="R13" s="12"/>
      <c r="S13" s="12"/>
      <c r="T13" s="12"/>
      <c r="U13" s="67"/>
    </row>
    <row r="14">
      <c r="B14" s="26">
        <v>45920.0</v>
      </c>
      <c r="C14" s="27" t="s">
        <v>162</v>
      </c>
      <c r="D14" s="27" t="s">
        <v>15</v>
      </c>
      <c r="E14" s="28">
        <v>30985.0</v>
      </c>
      <c r="G14" s="64"/>
      <c r="H14" s="12"/>
      <c r="I14" s="61"/>
      <c r="J14" s="61"/>
      <c r="K14" s="67"/>
      <c r="L14" s="64"/>
      <c r="M14" s="12"/>
      <c r="N14" s="61"/>
      <c r="O14" s="61"/>
      <c r="P14" s="67"/>
      <c r="Q14" s="66"/>
      <c r="R14" s="12"/>
      <c r="S14" s="12"/>
      <c r="T14" s="12"/>
      <c r="U14" s="67"/>
    </row>
    <row r="15">
      <c r="B15" s="20">
        <v>45905.0</v>
      </c>
      <c r="C15" s="21" t="s">
        <v>139</v>
      </c>
      <c r="D15" s="21" t="s">
        <v>15</v>
      </c>
      <c r="E15" s="22">
        <v>23000.0</v>
      </c>
      <c r="G15" s="64"/>
      <c r="H15" s="12"/>
      <c r="I15" s="61"/>
      <c r="J15" s="61"/>
      <c r="K15" s="67"/>
      <c r="L15" s="64"/>
      <c r="M15" s="12"/>
      <c r="N15" s="61"/>
      <c r="O15" s="61"/>
      <c r="P15" s="67"/>
      <c r="Q15" s="66"/>
      <c r="R15" s="12"/>
      <c r="S15" s="12"/>
      <c r="T15" s="12"/>
      <c r="U15" s="67"/>
    </row>
    <row r="16">
      <c r="B16" s="26">
        <v>45903.0</v>
      </c>
      <c r="C16" s="27" t="s">
        <v>176</v>
      </c>
      <c r="D16" s="27" t="s">
        <v>15</v>
      </c>
      <c r="E16" s="28">
        <v>17400.0</v>
      </c>
      <c r="G16" s="64"/>
      <c r="H16" s="12"/>
      <c r="I16" s="61"/>
      <c r="J16" s="61"/>
      <c r="K16" s="67"/>
      <c r="L16" s="64"/>
      <c r="M16" s="12"/>
      <c r="N16" s="61"/>
      <c r="O16" s="61"/>
      <c r="P16" s="67"/>
      <c r="Q16" s="66"/>
      <c r="R16" s="12"/>
      <c r="S16" s="12"/>
      <c r="T16" s="12"/>
      <c r="U16" s="67"/>
    </row>
    <row r="17">
      <c r="B17" s="20">
        <v>45915.0</v>
      </c>
      <c r="C17" s="21" t="s">
        <v>177</v>
      </c>
      <c r="D17" s="21" t="s">
        <v>15</v>
      </c>
      <c r="E17" s="22">
        <v>48408.0</v>
      </c>
      <c r="G17" s="64"/>
      <c r="H17" s="12"/>
      <c r="I17" s="61"/>
      <c r="J17" s="61"/>
      <c r="K17" s="67"/>
      <c r="L17" s="64"/>
      <c r="M17" s="12"/>
      <c r="N17" s="61"/>
      <c r="O17" s="61"/>
      <c r="P17" s="67"/>
      <c r="Q17" s="66"/>
      <c r="R17" s="12"/>
      <c r="S17" s="12"/>
      <c r="T17" s="12"/>
      <c r="U17" s="67"/>
    </row>
    <row r="18">
      <c r="B18" s="26">
        <v>45915.0</v>
      </c>
      <c r="C18" s="27" t="s">
        <v>178</v>
      </c>
      <c r="D18" s="27" t="s">
        <v>15</v>
      </c>
      <c r="E18" s="28">
        <v>184803.0</v>
      </c>
      <c r="G18" s="64"/>
      <c r="H18" s="12"/>
      <c r="I18" s="61"/>
      <c r="J18" s="61"/>
      <c r="K18" s="67"/>
      <c r="L18" s="64"/>
      <c r="M18" s="12"/>
      <c r="N18" s="61"/>
      <c r="O18" s="61"/>
      <c r="P18" s="67"/>
      <c r="Q18" s="66"/>
      <c r="R18" s="12"/>
      <c r="S18" s="12"/>
      <c r="T18" s="12"/>
      <c r="U18" s="67"/>
    </row>
    <row r="19">
      <c r="B19" s="20">
        <v>45916.0</v>
      </c>
      <c r="C19" s="21" t="s">
        <v>179</v>
      </c>
      <c r="D19" s="21" t="s">
        <v>15</v>
      </c>
      <c r="E19" s="22">
        <v>100000.0</v>
      </c>
      <c r="G19" s="64"/>
      <c r="H19" s="12"/>
      <c r="I19" s="61"/>
      <c r="J19" s="12"/>
      <c r="K19" s="67"/>
      <c r="L19" s="64"/>
      <c r="M19" s="12"/>
      <c r="N19" s="61"/>
      <c r="P19" s="67"/>
      <c r="Q19" s="66"/>
      <c r="R19" s="12"/>
      <c r="S19" s="12"/>
      <c r="T19" s="12"/>
      <c r="U19" s="67"/>
    </row>
    <row r="20">
      <c r="B20" s="26">
        <v>45916.0</v>
      </c>
      <c r="C20" s="27" t="s">
        <v>175</v>
      </c>
      <c r="D20" s="27" t="s">
        <v>15</v>
      </c>
      <c r="E20" s="28">
        <v>60000.0</v>
      </c>
      <c r="G20" s="66"/>
      <c r="H20" s="12"/>
      <c r="I20" s="12"/>
      <c r="J20" s="12"/>
      <c r="K20" s="67"/>
      <c r="L20" s="66"/>
      <c r="M20" s="12"/>
      <c r="N20" s="61"/>
      <c r="O20" s="12"/>
      <c r="P20" s="67"/>
      <c r="Q20" s="66"/>
      <c r="R20" s="12"/>
      <c r="S20" s="12"/>
      <c r="T20" s="12"/>
      <c r="U20" s="67"/>
    </row>
    <row r="21">
      <c r="B21" s="36">
        <v>45919.0</v>
      </c>
      <c r="C21" s="21" t="s">
        <v>180</v>
      </c>
      <c r="D21" s="21" t="s">
        <v>15</v>
      </c>
      <c r="E21" s="22">
        <v>5500.0</v>
      </c>
      <c r="G21" s="66"/>
      <c r="H21" s="12"/>
      <c r="I21" s="12"/>
      <c r="J21" s="12"/>
      <c r="K21" s="67"/>
      <c r="L21" s="66"/>
      <c r="M21" s="12"/>
      <c r="N21" s="12"/>
      <c r="O21" s="12"/>
      <c r="P21" s="67"/>
      <c r="Q21" s="66"/>
      <c r="R21" s="12"/>
      <c r="S21" s="12"/>
      <c r="T21" s="12"/>
      <c r="U21" s="67"/>
    </row>
    <row r="22">
      <c r="B22" s="32">
        <v>45925.0</v>
      </c>
      <c r="C22" s="27" t="s">
        <v>181</v>
      </c>
      <c r="D22" s="27" t="s">
        <v>15</v>
      </c>
      <c r="E22" s="28">
        <v>30000.0</v>
      </c>
      <c r="G22" s="66"/>
      <c r="H22" s="12"/>
      <c r="I22" s="12"/>
      <c r="J22" s="12"/>
      <c r="K22" s="67"/>
      <c r="L22" s="66"/>
      <c r="M22" s="12"/>
      <c r="N22" s="12"/>
      <c r="O22" s="12"/>
      <c r="P22" s="67"/>
      <c r="Q22" s="66"/>
      <c r="R22" s="12"/>
      <c r="S22" s="12"/>
      <c r="T22" s="12"/>
      <c r="U22" s="67"/>
    </row>
    <row r="23">
      <c r="B23" s="36">
        <v>45930.0</v>
      </c>
      <c r="C23" s="21" t="s">
        <v>181</v>
      </c>
      <c r="D23" s="21" t="s">
        <v>15</v>
      </c>
      <c r="E23" s="22">
        <v>30000.0</v>
      </c>
      <c r="G23" s="66"/>
      <c r="H23" s="12"/>
      <c r="I23" s="12"/>
      <c r="J23" s="12"/>
      <c r="K23" s="67"/>
      <c r="L23" s="66"/>
      <c r="M23" s="12"/>
      <c r="N23" s="12"/>
      <c r="O23" s="12"/>
      <c r="P23" s="67"/>
      <c r="Q23" s="66"/>
      <c r="R23" s="12"/>
      <c r="S23" s="12"/>
      <c r="T23" s="12"/>
      <c r="U23" s="67"/>
    </row>
    <row r="24">
      <c r="B24" s="32">
        <v>45919.0</v>
      </c>
      <c r="C24" s="27" t="s">
        <v>175</v>
      </c>
      <c r="D24" s="27" t="s">
        <v>15</v>
      </c>
      <c r="E24" s="28">
        <v>60000.0</v>
      </c>
      <c r="G24" s="66"/>
      <c r="H24" s="12"/>
      <c r="I24" s="12"/>
      <c r="J24" s="12"/>
      <c r="K24" s="67"/>
      <c r="L24" s="66"/>
      <c r="M24" s="12"/>
      <c r="N24" s="12"/>
      <c r="O24" s="12"/>
      <c r="P24" s="67"/>
      <c r="Q24" s="66"/>
      <c r="R24" s="12"/>
      <c r="S24" s="12"/>
      <c r="T24" s="12"/>
      <c r="U24" s="67"/>
    </row>
    <row r="25">
      <c r="B25" s="36">
        <v>45902.0</v>
      </c>
      <c r="C25" s="21" t="s">
        <v>182</v>
      </c>
      <c r="D25" s="21" t="s">
        <v>15</v>
      </c>
      <c r="E25" s="22">
        <v>14500.0</v>
      </c>
      <c r="G25" s="66"/>
      <c r="H25" s="77"/>
      <c r="I25" s="12"/>
      <c r="J25" s="12"/>
      <c r="K25" s="67"/>
      <c r="L25" s="66"/>
      <c r="M25" s="12"/>
      <c r="N25" s="12"/>
      <c r="O25" s="12"/>
      <c r="P25" s="67"/>
      <c r="Q25" s="66"/>
      <c r="R25" s="12"/>
      <c r="S25" s="12"/>
      <c r="T25" s="12"/>
      <c r="U25" s="67"/>
    </row>
    <row r="26">
      <c r="B26" s="32">
        <v>45904.0</v>
      </c>
      <c r="C26" s="27" t="s">
        <v>183</v>
      </c>
      <c r="D26" s="27" t="s">
        <v>15</v>
      </c>
      <c r="E26" s="28">
        <v>1263332.0</v>
      </c>
      <c r="G26" s="66"/>
      <c r="H26" s="12"/>
      <c r="I26" s="12"/>
      <c r="J26" s="12"/>
      <c r="K26" s="67"/>
      <c r="L26" s="66"/>
      <c r="M26" s="12"/>
      <c r="N26" s="12"/>
      <c r="O26" s="12"/>
      <c r="P26" s="67"/>
      <c r="Q26" s="66"/>
      <c r="R26" s="12"/>
      <c r="S26" s="12"/>
      <c r="T26" s="12"/>
      <c r="U26" s="67"/>
    </row>
    <row r="27">
      <c r="B27" s="36">
        <v>45906.0</v>
      </c>
      <c r="C27" s="21" t="s">
        <v>182</v>
      </c>
      <c r="D27" s="21" t="s">
        <v>15</v>
      </c>
      <c r="E27" s="22">
        <v>9140.0</v>
      </c>
      <c r="G27" s="66"/>
      <c r="H27" s="12"/>
      <c r="I27" s="12"/>
      <c r="J27" s="12"/>
      <c r="K27" s="67"/>
      <c r="L27" s="66"/>
      <c r="M27" s="12"/>
      <c r="N27" s="12"/>
      <c r="O27" s="12"/>
      <c r="P27" s="67"/>
      <c r="Q27" s="66"/>
      <c r="R27" s="12"/>
      <c r="S27" s="12"/>
      <c r="T27" s="12"/>
      <c r="U27" s="67"/>
    </row>
    <row r="28">
      <c r="B28" s="32">
        <v>45910.0</v>
      </c>
      <c r="C28" s="27" t="s">
        <v>182</v>
      </c>
      <c r="D28" s="27" t="s">
        <v>15</v>
      </c>
      <c r="E28" s="28">
        <v>8530.0</v>
      </c>
      <c r="G28" s="66"/>
      <c r="H28" s="12"/>
      <c r="I28" s="12"/>
      <c r="J28" s="12"/>
      <c r="K28" s="67"/>
      <c r="L28" s="66"/>
      <c r="M28" s="12"/>
      <c r="N28" s="12"/>
      <c r="O28" s="12"/>
      <c r="P28" s="67"/>
      <c r="Q28" s="66"/>
      <c r="R28" s="12"/>
      <c r="S28" s="12"/>
      <c r="T28" s="12"/>
      <c r="U28" s="67"/>
    </row>
    <row r="29">
      <c r="B29" s="36">
        <v>45910.0</v>
      </c>
      <c r="C29" s="21" t="s">
        <v>182</v>
      </c>
      <c r="D29" s="21" t="s">
        <v>15</v>
      </c>
      <c r="E29" s="22">
        <v>4370.0</v>
      </c>
      <c r="G29" s="66"/>
      <c r="H29" s="12"/>
      <c r="I29" s="12"/>
      <c r="J29" s="12"/>
      <c r="K29" s="67"/>
      <c r="L29" s="66"/>
      <c r="M29" s="12"/>
      <c r="N29" s="12"/>
      <c r="O29" s="12"/>
      <c r="P29" s="67"/>
      <c r="Q29" s="66"/>
      <c r="R29" s="12"/>
      <c r="S29" s="12"/>
      <c r="T29" s="12"/>
      <c r="U29" s="67"/>
    </row>
    <row r="30">
      <c r="B30" s="32">
        <v>45913.0</v>
      </c>
      <c r="C30" s="27" t="s">
        <v>182</v>
      </c>
      <c r="D30" s="27" t="s">
        <v>15</v>
      </c>
      <c r="E30" s="28">
        <v>53536.0</v>
      </c>
      <c r="G30" s="66"/>
      <c r="H30" s="12"/>
      <c r="I30" s="12"/>
      <c r="J30" s="12"/>
      <c r="K30" s="67"/>
      <c r="L30" s="66"/>
      <c r="M30" s="12"/>
      <c r="N30" s="12"/>
      <c r="O30" s="12"/>
      <c r="P30" s="67"/>
      <c r="Q30" s="66"/>
      <c r="R30" s="12"/>
      <c r="S30" s="12"/>
      <c r="T30" s="12"/>
      <c r="U30" s="67"/>
    </row>
    <row r="31">
      <c r="B31" s="36">
        <v>45913.0</v>
      </c>
      <c r="C31" s="21" t="s">
        <v>182</v>
      </c>
      <c r="D31" s="21" t="s">
        <v>15</v>
      </c>
      <c r="E31" s="22">
        <v>14306.0</v>
      </c>
      <c r="G31" s="66"/>
      <c r="H31" s="12"/>
      <c r="I31" s="12"/>
      <c r="J31" s="12"/>
      <c r="K31" s="67"/>
      <c r="L31" s="66"/>
      <c r="M31" s="12"/>
      <c r="N31" s="12"/>
      <c r="O31" s="12"/>
      <c r="P31" s="67"/>
      <c r="Q31" s="66"/>
      <c r="R31" s="12"/>
      <c r="S31" s="12"/>
      <c r="T31" s="12"/>
      <c r="U31" s="67"/>
    </row>
    <row r="32">
      <c r="B32" s="32">
        <v>45906.0</v>
      </c>
      <c r="C32" s="27" t="s">
        <v>184</v>
      </c>
      <c r="D32" s="27" t="s">
        <v>15</v>
      </c>
      <c r="E32" s="28">
        <v>60000.0</v>
      </c>
      <c r="G32" s="66"/>
      <c r="H32" s="12"/>
      <c r="I32" s="12"/>
      <c r="J32" s="12"/>
      <c r="K32" s="67"/>
      <c r="L32" s="66"/>
      <c r="M32" s="12"/>
      <c r="N32" s="12"/>
      <c r="O32" s="12"/>
      <c r="P32" s="67"/>
      <c r="Q32" s="66"/>
      <c r="R32" s="12"/>
      <c r="S32" s="12"/>
      <c r="T32" s="12"/>
      <c r="U32" s="67"/>
    </row>
    <row r="33">
      <c r="B33" s="36">
        <v>45920.0</v>
      </c>
      <c r="C33" s="21" t="s">
        <v>162</v>
      </c>
      <c r="D33" s="21" t="s">
        <v>15</v>
      </c>
      <c r="E33" s="22">
        <v>16495.0</v>
      </c>
      <c r="G33" s="66"/>
      <c r="H33" s="12"/>
      <c r="I33" s="12"/>
      <c r="J33" s="12"/>
      <c r="K33" s="67"/>
      <c r="L33" s="66"/>
      <c r="M33" s="12"/>
      <c r="N33" s="12"/>
      <c r="O33" s="12"/>
      <c r="P33" s="67"/>
      <c r="Q33" s="66"/>
      <c r="R33" s="12"/>
      <c r="S33" s="12"/>
      <c r="T33" s="12"/>
      <c r="U33" s="67"/>
    </row>
    <row r="34">
      <c r="B34" s="32">
        <v>45926.0</v>
      </c>
      <c r="C34" s="27" t="s">
        <v>185</v>
      </c>
      <c r="D34" s="27" t="s">
        <v>15</v>
      </c>
      <c r="E34" s="28">
        <v>61293.0</v>
      </c>
      <c r="G34" s="66"/>
      <c r="H34" s="12"/>
      <c r="I34" s="12"/>
      <c r="J34" s="12"/>
      <c r="K34" s="67"/>
      <c r="L34" s="66"/>
      <c r="M34" s="12"/>
      <c r="N34" s="12"/>
      <c r="O34" s="12"/>
      <c r="P34" s="67"/>
      <c r="Q34" s="66"/>
      <c r="R34" s="12"/>
      <c r="S34" s="12"/>
      <c r="T34" s="12"/>
      <c r="U34" s="67"/>
    </row>
    <row r="35">
      <c r="B35" s="36">
        <v>45926.0</v>
      </c>
      <c r="C35" s="21" t="s">
        <v>186</v>
      </c>
      <c r="D35" s="21" t="s">
        <v>15</v>
      </c>
      <c r="E35" s="22">
        <v>18700.0</v>
      </c>
      <c r="G35" s="66"/>
      <c r="H35" s="12"/>
      <c r="I35" s="12"/>
      <c r="J35" s="12"/>
      <c r="K35" s="67"/>
      <c r="L35" s="66"/>
      <c r="M35" s="12"/>
      <c r="N35" s="12"/>
      <c r="O35" s="12"/>
      <c r="P35" s="67"/>
      <c r="Q35" s="66"/>
      <c r="R35" s="12"/>
      <c r="S35" s="12"/>
      <c r="T35" s="12"/>
      <c r="U35" s="67"/>
    </row>
    <row r="36">
      <c r="B36" s="32">
        <v>45930.0</v>
      </c>
      <c r="C36" s="27" t="s">
        <v>183</v>
      </c>
      <c r="D36" s="27" t="s">
        <v>15</v>
      </c>
      <c r="E36" s="28">
        <v>178748.0</v>
      </c>
      <c r="G36" s="66"/>
      <c r="H36" s="12"/>
      <c r="I36" s="12"/>
      <c r="J36" s="12"/>
      <c r="K36" s="67"/>
      <c r="L36" s="66"/>
      <c r="M36" s="12"/>
      <c r="N36" s="12"/>
      <c r="O36" s="12"/>
      <c r="P36" s="67"/>
      <c r="Q36" s="66"/>
      <c r="R36" s="12"/>
      <c r="S36" s="12"/>
      <c r="T36" s="12"/>
      <c r="U36" s="67"/>
    </row>
    <row r="37">
      <c r="B37" s="37" t="s">
        <v>48</v>
      </c>
      <c r="C37" s="2"/>
      <c r="D37" s="2"/>
      <c r="E37" s="38">
        <f>SUM(E5:E36)</f>
        <v>2739039.51</v>
      </c>
      <c r="G37" s="68"/>
      <c r="H37" s="69"/>
      <c r="I37" s="69"/>
      <c r="J37" s="68"/>
      <c r="K37" s="70"/>
      <c r="L37" s="71"/>
      <c r="M37" s="12"/>
      <c r="N37" s="12"/>
      <c r="O37" s="72"/>
      <c r="P37" s="70"/>
      <c r="Q37" s="71"/>
      <c r="R37" s="12"/>
      <c r="S37" s="12"/>
      <c r="T37" s="72"/>
      <c r="U37" s="70"/>
    </row>
    <row r="38">
      <c r="B38" s="48"/>
      <c r="G38" s="72"/>
      <c r="U38" s="76"/>
    </row>
    <row r="41">
      <c r="T41" s="75"/>
      <c r="U41" s="67"/>
    </row>
    <row r="42">
      <c r="T42" s="75"/>
      <c r="U42" s="67"/>
    </row>
    <row r="43">
      <c r="T43" s="75"/>
      <c r="U43" s="76"/>
    </row>
  </sheetData>
  <mergeCells count="9">
    <mergeCell ref="B38:E38"/>
    <mergeCell ref="G38:T38"/>
    <mergeCell ref="B2:E2"/>
    <mergeCell ref="G2:U2"/>
    <mergeCell ref="B3:E3"/>
    <mergeCell ref="G3:K3"/>
    <mergeCell ref="L3:P3"/>
    <mergeCell ref="Q3:U3"/>
    <mergeCell ref="B37:D3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32.63"/>
    <col customWidth="1" min="4" max="4" width="14.5"/>
    <col customWidth="1" min="5" max="5" width="11.25"/>
    <col customWidth="1" min="6" max="6" width="3.75"/>
    <col customWidth="1" min="7" max="7" width="15.0"/>
    <col customWidth="1" min="8" max="8" width="16.88"/>
    <col customWidth="1" min="9" max="9" width="20.0"/>
    <col customWidth="1" min="10" max="10" width="17.63"/>
    <col customWidth="1" min="13" max="13" width="18.25"/>
    <col customWidth="1" min="14" max="14" width="21.13"/>
    <col customWidth="1" min="15" max="15" width="17.88"/>
    <col customWidth="1" min="18" max="18" width="14.5"/>
    <col customWidth="1" min="19" max="19" width="17.63"/>
    <col customWidth="1" min="20" max="20" width="18.13"/>
  </cols>
  <sheetData>
    <row r="2">
      <c r="B2" s="1" t="s">
        <v>0</v>
      </c>
      <c r="C2" s="2"/>
      <c r="D2" s="2"/>
      <c r="E2" s="3"/>
      <c r="G2" s="58"/>
    </row>
    <row r="3">
      <c r="B3" s="4" t="s">
        <v>2</v>
      </c>
      <c r="C3" s="5"/>
      <c r="D3" s="5"/>
      <c r="E3" s="6"/>
      <c r="G3" s="59"/>
      <c r="L3" s="58"/>
      <c r="Q3" s="58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2"/>
      <c r="G4" s="60"/>
      <c r="H4" s="61"/>
      <c r="I4" s="60"/>
      <c r="J4" s="61"/>
      <c r="K4" s="62"/>
      <c r="L4" s="63"/>
      <c r="M4" s="63"/>
      <c r="N4" s="63"/>
      <c r="O4" s="63"/>
      <c r="P4" s="58"/>
      <c r="Q4" s="63"/>
      <c r="R4" s="63"/>
      <c r="S4" s="63"/>
      <c r="T4" s="63"/>
      <c r="U4" s="58"/>
    </row>
    <row r="5">
      <c r="B5" s="20">
        <v>45932.0</v>
      </c>
      <c r="C5" s="21" t="s">
        <v>187</v>
      </c>
      <c r="D5" s="21" t="s">
        <v>15</v>
      </c>
      <c r="E5" s="22">
        <v>226389.0</v>
      </c>
      <c r="F5" s="12"/>
      <c r="G5" s="64"/>
      <c r="H5" s="61"/>
      <c r="I5" s="61"/>
      <c r="J5" s="61"/>
      <c r="K5" s="65"/>
      <c r="L5" s="64"/>
      <c r="M5" s="61"/>
      <c r="N5" s="61"/>
      <c r="O5" s="61"/>
      <c r="P5" s="65"/>
      <c r="Q5" s="66"/>
      <c r="R5" s="12"/>
      <c r="S5" s="12"/>
      <c r="T5" s="12"/>
      <c r="U5" s="67"/>
    </row>
    <row r="6">
      <c r="B6" s="26">
        <v>45932.0</v>
      </c>
      <c r="C6" s="27" t="s">
        <v>182</v>
      </c>
      <c r="D6" s="27" t="s">
        <v>15</v>
      </c>
      <c r="E6" s="28">
        <v>26630.0</v>
      </c>
      <c r="F6" s="12"/>
      <c r="G6" s="64"/>
      <c r="H6" s="61"/>
      <c r="I6" s="61"/>
      <c r="J6" s="61"/>
      <c r="K6" s="65"/>
      <c r="L6" s="64"/>
      <c r="M6" s="61"/>
      <c r="N6" s="61"/>
      <c r="O6" s="61"/>
      <c r="P6" s="65"/>
      <c r="Q6" s="66"/>
      <c r="R6" s="12"/>
      <c r="S6" s="12"/>
      <c r="T6" s="12"/>
      <c r="U6" s="67"/>
    </row>
    <row r="7">
      <c r="B7" s="20">
        <v>45933.0</v>
      </c>
      <c r="C7" s="21" t="s">
        <v>188</v>
      </c>
      <c r="D7" s="21" t="s">
        <v>15</v>
      </c>
      <c r="E7" s="22">
        <v>37229.0</v>
      </c>
      <c r="F7" s="12"/>
      <c r="G7" s="64"/>
      <c r="H7" s="61"/>
      <c r="I7" s="61"/>
      <c r="J7" s="61"/>
      <c r="K7" s="65"/>
      <c r="L7" s="64"/>
      <c r="M7" s="61"/>
      <c r="N7" s="61"/>
      <c r="O7" s="61"/>
      <c r="P7" s="65"/>
      <c r="Q7" s="66"/>
      <c r="R7" s="12"/>
      <c r="S7" s="12"/>
      <c r="T7" s="12"/>
      <c r="U7" s="67"/>
    </row>
    <row r="8">
      <c r="B8" s="26">
        <v>45937.0</v>
      </c>
      <c r="C8" s="27" t="s">
        <v>189</v>
      </c>
      <c r="D8" s="27" t="s">
        <v>15</v>
      </c>
      <c r="E8" s="28">
        <v>7630.0</v>
      </c>
      <c r="F8" s="12"/>
      <c r="G8" s="64"/>
      <c r="H8" s="61"/>
      <c r="I8" s="61"/>
      <c r="J8" s="61"/>
      <c r="K8" s="65"/>
      <c r="L8" s="64"/>
      <c r="M8" s="61"/>
      <c r="N8" s="61"/>
      <c r="O8" s="61"/>
      <c r="P8" s="65"/>
      <c r="Q8" s="66"/>
      <c r="R8" s="12"/>
      <c r="S8" s="12"/>
      <c r="T8" s="12"/>
      <c r="U8" s="67"/>
    </row>
    <row r="9">
      <c r="B9" s="20">
        <v>45937.0</v>
      </c>
      <c r="C9" s="21" t="s">
        <v>190</v>
      </c>
      <c r="D9" s="21" t="s">
        <v>15</v>
      </c>
      <c r="E9" s="22">
        <v>91530.0</v>
      </c>
      <c r="F9" s="12"/>
      <c r="G9" s="64"/>
      <c r="H9" s="61"/>
      <c r="I9" s="61"/>
      <c r="J9" s="61"/>
      <c r="K9" s="65"/>
      <c r="L9" s="64"/>
      <c r="M9" s="61"/>
      <c r="N9" s="61"/>
      <c r="O9" s="61"/>
      <c r="P9" s="65"/>
      <c r="Q9" s="66"/>
      <c r="R9" s="12"/>
      <c r="S9" s="12"/>
      <c r="T9" s="12"/>
      <c r="U9" s="67"/>
    </row>
    <row r="10">
      <c r="B10" s="26">
        <v>45938.0</v>
      </c>
      <c r="C10" s="27" t="s">
        <v>191</v>
      </c>
      <c r="D10" s="27" t="s">
        <v>15</v>
      </c>
      <c r="E10" s="28">
        <v>303905.0</v>
      </c>
      <c r="F10" s="12"/>
      <c r="G10" s="64"/>
      <c r="H10" s="61"/>
      <c r="I10" s="61"/>
      <c r="J10" s="61"/>
      <c r="K10" s="65"/>
      <c r="L10" s="64"/>
      <c r="M10" s="61"/>
      <c r="N10" s="61"/>
      <c r="O10" s="61"/>
      <c r="P10" s="65"/>
      <c r="Q10" s="66"/>
      <c r="R10" s="12"/>
      <c r="S10" s="12"/>
      <c r="T10" s="12"/>
      <c r="U10" s="67"/>
    </row>
    <row r="11">
      <c r="B11" s="20">
        <v>45938.0</v>
      </c>
      <c r="C11" s="21" t="s">
        <v>192</v>
      </c>
      <c r="D11" s="21" t="s">
        <v>15</v>
      </c>
      <c r="E11" s="22">
        <v>65317.0</v>
      </c>
      <c r="F11" s="12"/>
      <c r="G11" s="64"/>
      <c r="H11" s="61"/>
      <c r="I11" s="61"/>
      <c r="J11" s="61"/>
      <c r="K11" s="65"/>
      <c r="L11" s="64"/>
      <c r="M11" s="61"/>
      <c r="N11" s="61"/>
      <c r="O11" s="61"/>
      <c r="P11" s="65"/>
      <c r="Q11" s="66"/>
      <c r="R11" s="12"/>
      <c r="S11" s="12"/>
      <c r="T11" s="12"/>
      <c r="U11" s="67"/>
    </row>
    <row r="12">
      <c r="B12" s="26">
        <v>45939.0</v>
      </c>
      <c r="C12" s="27" t="s">
        <v>193</v>
      </c>
      <c r="D12" s="27" t="s">
        <v>15</v>
      </c>
      <c r="E12" s="28">
        <v>122114.0</v>
      </c>
      <c r="F12" s="12"/>
      <c r="G12" s="64"/>
      <c r="H12" s="12"/>
      <c r="I12" s="61"/>
      <c r="J12" s="61"/>
      <c r="K12" s="12"/>
      <c r="L12" s="64"/>
      <c r="M12" s="61"/>
      <c r="N12" s="61"/>
      <c r="O12" s="61"/>
      <c r="P12" s="65"/>
      <c r="Q12" s="66"/>
      <c r="R12" s="12"/>
      <c r="S12" s="12"/>
      <c r="T12" s="12"/>
      <c r="U12" s="67"/>
    </row>
    <row r="13">
      <c r="B13" s="20">
        <v>45940.0</v>
      </c>
      <c r="C13" s="21" t="s">
        <v>194</v>
      </c>
      <c r="D13" s="21" t="s">
        <v>15</v>
      </c>
      <c r="E13" s="22">
        <v>22100.0</v>
      </c>
      <c r="F13" s="12"/>
      <c r="G13" s="64"/>
      <c r="H13" s="12"/>
      <c r="I13" s="61"/>
      <c r="J13" s="61"/>
      <c r="K13" s="12"/>
      <c r="L13" s="64"/>
      <c r="M13" s="12"/>
      <c r="N13" s="61"/>
      <c r="O13" s="61"/>
      <c r="P13" s="12"/>
      <c r="Q13" s="66"/>
      <c r="R13" s="12"/>
      <c r="S13" s="12"/>
      <c r="T13" s="12"/>
      <c r="U13" s="67"/>
    </row>
    <row r="14">
      <c r="B14" s="26">
        <v>45942.0</v>
      </c>
      <c r="C14" s="27" t="s">
        <v>195</v>
      </c>
      <c r="D14" s="27" t="s">
        <v>15</v>
      </c>
      <c r="E14" s="28">
        <v>10350.0</v>
      </c>
      <c r="G14" s="64"/>
      <c r="H14" s="12"/>
      <c r="I14" s="61"/>
      <c r="J14" s="61"/>
      <c r="K14" s="67"/>
      <c r="L14" s="64"/>
      <c r="M14" s="12"/>
      <c r="N14" s="61"/>
      <c r="O14" s="61"/>
      <c r="P14" s="67"/>
      <c r="Q14" s="66"/>
      <c r="R14" s="12"/>
      <c r="S14" s="12"/>
      <c r="T14" s="12"/>
      <c r="U14" s="67"/>
    </row>
    <row r="15">
      <c r="B15" s="20">
        <v>45942.0</v>
      </c>
      <c r="C15" s="21" t="s">
        <v>163</v>
      </c>
      <c r="D15" s="21" t="s">
        <v>15</v>
      </c>
      <c r="E15" s="22">
        <v>19908.0</v>
      </c>
      <c r="G15" s="64"/>
      <c r="H15" s="12"/>
      <c r="I15" s="61"/>
      <c r="J15" s="61"/>
      <c r="K15" s="67"/>
      <c r="L15" s="64"/>
      <c r="M15" s="12"/>
      <c r="N15" s="61"/>
      <c r="O15" s="61"/>
      <c r="P15" s="67"/>
      <c r="Q15" s="66"/>
      <c r="R15" s="12"/>
      <c r="S15" s="12"/>
      <c r="T15" s="12"/>
      <c r="U15" s="67"/>
    </row>
    <row r="16">
      <c r="B16" s="26">
        <v>45942.0</v>
      </c>
      <c r="C16" s="27" t="s">
        <v>182</v>
      </c>
      <c r="D16" s="27" t="s">
        <v>15</v>
      </c>
      <c r="E16" s="28">
        <v>79627.0</v>
      </c>
      <c r="G16" s="64"/>
      <c r="H16" s="12"/>
      <c r="I16" s="61"/>
      <c r="J16" s="61"/>
      <c r="K16" s="67"/>
      <c r="L16" s="64"/>
      <c r="M16" s="12"/>
      <c r="N16" s="61"/>
      <c r="O16" s="61"/>
      <c r="P16" s="67"/>
      <c r="Q16" s="66"/>
      <c r="R16" s="12"/>
      <c r="S16" s="12"/>
      <c r="T16" s="12"/>
      <c r="U16" s="67"/>
    </row>
    <row r="17">
      <c r="B17" s="20">
        <v>45942.0</v>
      </c>
      <c r="C17" s="21" t="s">
        <v>182</v>
      </c>
      <c r="D17" s="21" t="s">
        <v>15</v>
      </c>
      <c r="E17" s="22">
        <v>42220.0</v>
      </c>
      <c r="G17" s="64"/>
      <c r="H17" s="12"/>
      <c r="I17" s="61"/>
      <c r="J17" s="61"/>
      <c r="K17" s="67"/>
      <c r="L17" s="64"/>
      <c r="M17" s="12"/>
      <c r="N17" s="61"/>
      <c r="O17" s="61"/>
      <c r="P17" s="67"/>
      <c r="Q17" s="66"/>
      <c r="R17" s="12"/>
      <c r="S17" s="12"/>
      <c r="T17" s="12"/>
      <c r="U17" s="67"/>
    </row>
    <row r="18">
      <c r="B18" s="26">
        <v>45943.0</v>
      </c>
      <c r="C18" s="27" t="s">
        <v>182</v>
      </c>
      <c r="D18" s="27" t="s">
        <v>15</v>
      </c>
      <c r="E18" s="28">
        <v>14676.0</v>
      </c>
      <c r="G18" s="64"/>
      <c r="H18" s="12"/>
      <c r="I18" s="61"/>
      <c r="J18" s="61"/>
      <c r="K18" s="67"/>
      <c r="L18" s="64"/>
      <c r="M18" s="12"/>
      <c r="N18" s="61"/>
      <c r="O18" s="61"/>
      <c r="P18" s="67"/>
      <c r="Q18" s="66"/>
      <c r="R18" s="12"/>
      <c r="S18" s="12"/>
      <c r="T18" s="12"/>
      <c r="U18" s="67"/>
    </row>
    <row r="19">
      <c r="B19" s="20">
        <v>45946.0</v>
      </c>
      <c r="C19" s="21" t="s">
        <v>162</v>
      </c>
      <c r="D19" s="21" t="s">
        <v>15</v>
      </c>
      <c r="E19" s="22">
        <v>127434.0</v>
      </c>
      <c r="G19" s="64"/>
      <c r="H19" s="12"/>
      <c r="I19" s="61"/>
      <c r="J19" s="12"/>
      <c r="K19" s="67"/>
      <c r="L19" s="64"/>
      <c r="M19" s="12"/>
      <c r="N19" s="61"/>
      <c r="P19" s="67"/>
      <c r="Q19" s="66"/>
      <c r="R19" s="12"/>
      <c r="S19" s="12"/>
      <c r="T19" s="12"/>
      <c r="U19" s="67"/>
    </row>
    <row r="20">
      <c r="B20" s="26">
        <v>45949.0</v>
      </c>
      <c r="C20" s="27" t="s">
        <v>163</v>
      </c>
      <c r="D20" s="27" t="s">
        <v>15</v>
      </c>
      <c r="E20" s="28">
        <v>12050.0</v>
      </c>
      <c r="G20" s="66"/>
      <c r="H20" s="12"/>
      <c r="I20" s="12"/>
      <c r="J20" s="12"/>
      <c r="K20" s="67"/>
      <c r="L20" s="66"/>
      <c r="M20" s="12"/>
      <c r="N20" s="61"/>
      <c r="O20" s="12"/>
      <c r="P20" s="67"/>
      <c r="Q20" s="66"/>
      <c r="R20" s="12"/>
      <c r="S20" s="12"/>
      <c r="T20" s="12"/>
      <c r="U20" s="67"/>
    </row>
    <row r="21">
      <c r="B21" s="36">
        <v>45949.0</v>
      </c>
      <c r="C21" s="21" t="s">
        <v>196</v>
      </c>
      <c r="D21" s="21" t="s">
        <v>15</v>
      </c>
      <c r="E21" s="22">
        <v>8670.0</v>
      </c>
      <c r="G21" s="66"/>
      <c r="H21" s="12"/>
      <c r="I21" s="12"/>
      <c r="J21" s="12"/>
      <c r="K21" s="67"/>
      <c r="L21" s="66"/>
      <c r="M21" s="12"/>
      <c r="N21" s="12"/>
      <c r="O21" s="12"/>
      <c r="P21" s="67"/>
      <c r="Q21" s="66"/>
      <c r="R21" s="12"/>
      <c r="S21" s="12"/>
      <c r="T21" s="12"/>
      <c r="U21" s="67"/>
    </row>
    <row r="22">
      <c r="B22" s="32">
        <v>45950.0</v>
      </c>
      <c r="C22" s="27" t="s">
        <v>188</v>
      </c>
      <c r="D22" s="27" t="s">
        <v>15</v>
      </c>
      <c r="E22" s="28">
        <v>50000.0</v>
      </c>
      <c r="G22" s="66"/>
      <c r="H22" s="12"/>
      <c r="I22" s="12"/>
      <c r="J22" s="12"/>
      <c r="K22" s="67"/>
      <c r="L22" s="66"/>
      <c r="M22" s="12"/>
      <c r="N22" s="12"/>
      <c r="O22" s="12"/>
      <c r="P22" s="67"/>
      <c r="Q22" s="66"/>
      <c r="R22" s="12"/>
      <c r="S22" s="12"/>
      <c r="T22" s="12"/>
      <c r="U22" s="67"/>
    </row>
    <row r="23">
      <c r="B23" s="36">
        <v>45951.0</v>
      </c>
      <c r="C23" s="21" t="s">
        <v>197</v>
      </c>
      <c r="D23" s="21" t="s">
        <v>15</v>
      </c>
      <c r="E23" s="22">
        <v>64000.0</v>
      </c>
      <c r="G23" s="66"/>
      <c r="H23" s="12"/>
      <c r="I23" s="12"/>
      <c r="J23" s="12"/>
      <c r="K23" s="67"/>
      <c r="L23" s="66"/>
      <c r="M23" s="12"/>
      <c r="N23" s="12"/>
      <c r="O23" s="12"/>
      <c r="P23" s="67"/>
      <c r="Q23" s="66"/>
      <c r="R23" s="12"/>
      <c r="S23" s="12"/>
      <c r="T23" s="12"/>
      <c r="U23" s="67"/>
    </row>
    <row r="24">
      <c r="B24" s="32">
        <v>45952.0</v>
      </c>
      <c r="C24" s="27" t="s">
        <v>198</v>
      </c>
      <c r="D24" s="27" t="s">
        <v>15</v>
      </c>
      <c r="E24" s="28">
        <v>33790.0</v>
      </c>
      <c r="G24" s="66"/>
      <c r="H24" s="12"/>
      <c r="I24" s="12"/>
      <c r="J24" s="12"/>
      <c r="K24" s="67"/>
      <c r="L24" s="66"/>
      <c r="M24" s="12"/>
      <c r="N24" s="12"/>
      <c r="O24" s="12"/>
      <c r="P24" s="67"/>
      <c r="Q24" s="66"/>
      <c r="R24" s="12"/>
      <c r="S24" s="12"/>
      <c r="T24" s="12"/>
      <c r="U24" s="67"/>
    </row>
    <row r="25">
      <c r="B25" s="36">
        <v>45952.0</v>
      </c>
      <c r="C25" s="21" t="s">
        <v>199</v>
      </c>
      <c r="D25" s="21" t="s">
        <v>15</v>
      </c>
      <c r="E25" s="22">
        <v>7666.0</v>
      </c>
      <c r="G25" s="66"/>
      <c r="H25" s="77"/>
      <c r="I25" s="12"/>
      <c r="J25" s="12"/>
      <c r="K25" s="67"/>
      <c r="L25" s="66"/>
      <c r="M25" s="12"/>
      <c r="N25" s="12"/>
      <c r="O25" s="12"/>
      <c r="P25" s="67"/>
      <c r="Q25" s="66"/>
      <c r="R25" s="12"/>
      <c r="S25" s="12"/>
      <c r="T25" s="12"/>
      <c r="U25" s="67"/>
    </row>
    <row r="26">
      <c r="B26" s="32">
        <v>45953.0</v>
      </c>
      <c r="C26" s="27" t="s">
        <v>198</v>
      </c>
      <c r="D26" s="27" t="s">
        <v>15</v>
      </c>
      <c r="E26" s="28">
        <v>10740.0</v>
      </c>
      <c r="G26" s="66"/>
      <c r="H26" s="12"/>
      <c r="I26" s="12"/>
      <c r="J26" s="12"/>
      <c r="K26" s="67"/>
      <c r="L26" s="66"/>
      <c r="M26" s="12"/>
      <c r="N26" s="12"/>
      <c r="O26" s="12"/>
      <c r="P26" s="67"/>
      <c r="Q26" s="66"/>
      <c r="R26" s="12"/>
      <c r="S26" s="12"/>
      <c r="T26" s="12"/>
      <c r="U26" s="67"/>
    </row>
    <row r="27">
      <c r="B27" s="36">
        <v>45953.0</v>
      </c>
      <c r="C27" s="21" t="s">
        <v>198</v>
      </c>
      <c r="D27" s="21" t="s">
        <v>15</v>
      </c>
      <c r="E27" s="22">
        <v>15741.0</v>
      </c>
      <c r="G27" s="66"/>
      <c r="H27" s="12"/>
      <c r="I27" s="12"/>
      <c r="J27" s="12"/>
      <c r="K27" s="67"/>
      <c r="L27" s="66"/>
      <c r="M27" s="12"/>
      <c r="N27" s="12"/>
      <c r="O27" s="12"/>
      <c r="P27" s="67"/>
      <c r="Q27" s="66"/>
      <c r="R27" s="12"/>
      <c r="S27" s="12"/>
      <c r="T27" s="12"/>
      <c r="U27" s="67"/>
    </row>
    <row r="28">
      <c r="B28" s="32">
        <v>45954.0</v>
      </c>
      <c r="C28" s="27" t="s">
        <v>189</v>
      </c>
      <c r="D28" s="27" t="s">
        <v>15</v>
      </c>
      <c r="E28" s="28">
        <v>14815.0</v>
      </c>
      <c r="G28" s="66"/>
      <c r="H28" s="12"/>
      <c r="I28" s="12"/>
      <c r="J28" s="12"/>
      <c r="K28" s="67"/>
      <c r="L28" s="66"/>
      <c r="M28" s="12"/>
      <c r="N28" s="12"/>
      <c r="O28" s="12"/>
      <c r="P28" s="67"/>
      <c r="Q28" s="66"/>
      <c r="R28" s="12"/>
      <c r="S28" s="12"/>
      <c r="T28" s="12"/>
      <c r="U28" s="67"/>
    </row>
    <row r="29">
      <c r="B29" s="36">
        <v>45954.0</v>
      </c>
      <c r="C29" s="21" t="s">
        <v>163</v>
      </c>
      <c r="D29" s="21" t="s">
        <v>15</v>
      </c>
      <c r="E29" s="22">
        <v>19050.0</v>
      </c>
      <c r="G29" s="66"/>
      <c r="H29" s="12"/>
      <c r="I29" s="12"/>
      <c r="J29" s="12"/>
      <c r="K29" s="67"/>
      <c r="L29" s="66"/>
      <c r="M29" s="12"/>
      <c r="N29" s="12"/>
      <c r="O29" s="12"/>
      <c r="P29" s="67"/>
      <c r="Q29" s="66"/>
      <c r="R29" s="12"/>
      <c r="S29" s="12"/>
      <c r="T29" s="12"/>
      <c r="U29" s="67"/>
    </row>
    <row r="30">
      <c r="B30" s="32">
        <v>45955.0</v>
      </c>
      <c r="C30" s="27" t="s">
        <v>200</v>
      </c>
      <c r="D30" s="27" t="s">
        <v>15</v>
      </c>
      <c r="E30" s="28">
        <v>48000.0</v>
      </c>
      <c r="G30" s="66"/>
      <c r="H30" s="12"/>
      <c r="I30" s="12"/>
      <c r="J30" s="12"/>
      <c r="K30" s="67"/>
      <c r="L30" s="66"/>
      <c r="M30" s="12"/>
      <c r="N30" s="12"/>
      <c r="O30" s="12"/>
      <c r="P30" s="67"/>
      <c r="Q30" s="66"/>
      <c r="R30" s="12"/>
      <c r="S30" s="12"/>
      <c r="T30" s="12"/>
      <c r="U30" s="67"/>
    </row>
    <row r="31">
      <c r="B31" s="36">
        <v>45955.0</v>
      </c>
      <c r="C31" s="21" t="s">
        <v>163</v>
      </c>
      <c r="D31" s="21" t="s">
        <v>15</v>
      </c>
      <c r="E31" s="22">
        <v>5520.0</v>
      </c>
      <c r="G31" s="66"/>
      <c r="H31" s="12"/>
      <c r="I31" s="12"/>
      <c r="J31" s="12"/>
      <c r="K31" s="67"/>
      <c r="L31" s="66"/>
      <c r="M31" s="12"/>
      <c r="N31" s="12"/>
      <c r="O31" s="12"/>
      <c r="P31" s="67"/>
      <c r="Q31" s="66"/>
      <c r="R31" s="12"/>
      <c r="S31" s="12"/>
      <c r="T31" s="12"/>
      <c r="U31" s="67"/>
    </row>
    <row r="32">
      <c r="B32" s="32">
        <v>45955.0</v>
      </c>
      <c r="C32" s="27" t="s">
        <v>188</v>
      </c>
      <c r="D32" s="27" t="s">
        <v>15</v>
      </c>
      <c r="E32" s="28">
        <v>18347.0</v>
      </c>
      <c r="G32" s="66"/>
      <c r="H32" s="12"/>
      <c r="I32" s="12"/>
      <c r="J32" s="12"/>
      <c r="K32" s="67"/>
      <c r="L32" s="66"/>
      <c r="M32" s="12"/>
      <c r="N32" s="12"/>
      <c r="O32" s="12"/>
      <c r="P32" s="67"/>
      <c r="Q32" s="66"/>
      <c r="R32" s="12"/>
      <c r="S32" s="12"/>
      <c r="T32" s="12"/>
      <c r="U32" s="67"/>
    </row>
    <row r="33">
      <c r="B33" s="36">
        <v>45955.0</v>
      </c>
      <c r="C33" s="21" t="s">
        <v>201</v>
      </c>
      <c r="D33" s="21" t="s">
        <v>15</v>
      </c>
      <c r="E33" s="22">
        <v>20587.0</v>
      </c>
      <c r="G33" s="66"/>
      <c r="H33" s="12"/>
      <c r="I33" s="12"/>
      <c r="J33" s="12"/>
      <c r="K33" s="67"/>
      <c r="L33" s="66"/>
      <c r="M33" s="12"/>
      <c r="N33" s="12"/>
      <c r="O33" s="12"/>
      <c r="P33" s="67"/>
      <c r="Q33" s="66"/>
      <c r="R33" s="12"/>
      <c r="S33" s="12"/>
      <c r="T33" s="12"/>
      <c r="U33" s="67"/>
    </row>
    <row r="34">
      <c r="B34" s="32">
        <v>45956.0</v>
      </c>
      <c r="C34" s="27" t="s">
        <v>194</v>
      </c>
      <c r="D34" s="27" t="s">
        <v>15</v>
      </c>
      <c r="E34" s="28">
        <v>26130.0</v>
      </c>
      <c r="G34" s="66"/>
      <c r="H34" s="12"/>
      <c r="I34" s="12"/>
      <c r="J34" s="12"/>
      <c r="K34" s="67"/>
      <c r="L34" s="66"/>
      <c r="M34" s="12"/>
      <c r="N34" s="12"/>
      <c r="O34" s="12"/>
      <c r="P34" s="67"/>
      <c r="Q34" s="66"/>
      <c r="R34" s="12"/>
      <c r="S34" s="12"/>
      <c r="T34" s="12"/>
      <c r="U34" s="67"/>
    </row>
    <row r="35">
      <c r="B35" s="36">
        <v>45957.0</v>
      </c>
      <c r="C35" s="21" t="s">
        <v>188</v>
      </c>
      <c r="D35" s="21" t="s">
        <v>15</v>
      </c>
      <c r="E35" s="22">
        <v>30000.0</v>
      </c>
      <c r="G35" s="66"/>
      <c r="H35" s="12"/>
      <c r="I35" s="12"/>
      <c r="J35" s="12"/>
      <c r="K35" s="67"/>
      <c r="L35" s="66"/>
      <c r="M35" s="12"/>
      <c r="N35" s="12"/>
      <c r="O35" s="12"/>
      <c r="P35" s="67"/>
      <c r="Q35" s="66"/>
      <c r="R35" s="12"/>
      <c r="S35" s="12"/>
      <c r="T35" s="12"/>
      <c r="U35" s="67"/>
    </row>
    <row r="36">
      <c r="B36" s="32">
        <v>45957.0</v>
      </c>
      <c r="C36" s="27" t="s">
        <v>202</v>
      </c>
      <c r="D36" s="27" t="s">
        <v>15</v>
      </c>
      <c r="E36" s="28">
        <v>20600.0</v>
      </c>
      <c r="G36" s="66"/>
      <c r="H36" s="12"/>
      <c r="I36" s="12"/>
      <c r="J36" s="12"/>
      <c r="K36" s="67"/>
      <c r="L36" s="66"/>
      <c r="M36" s="12"/>
      <c r="N36" s="12"/>
      <c r="O36" s="12"/>
      <c r="P36" s="67"/>
      <c r="Q36" s="66"/>
      <c r="R36" s="12"/>
      <c r="S36" s="12"/>
      <c r="T36" s="12"/>
      <c r="U36" s="67"/>
    </row>
    <row r="37">
      <c r="B37" s="36">
        <v>45957.0</v>
      </c>
      <c r="C37" s="21" t="s">
        <v>203</v>
      </c>
      <c r="D37" s="21" t="s">
        <v>15</v>
      </c>
      <c r="E37" s="22">
        <v>35980.0</v>
      </c>
      <c r="G37" s="66"/>
      <c r="H37" s="12"/>
      <c r="I37" s="12"/>
      <c r="J37" s="12"/>
      <c r="K37" s="67"/>
      <c r="L37" s="66"/>
      <c r="M37" s="12"/>
      <c r="N37" s="12"/>
      <c r="O37" s="12"/>
      <c r="P37" s="67"/>
      <c r="Q37" s="66"/>
      <c r="R37" s="12"/>
      <c r="S37" s="12"/>
      <c r="T37" s="12"/>
      <c r="U37" s="67"/>
    </row>
    <row r="38">
      <c r="B38" s="32">
        <v>45957.0</v>
      </c>
      <c r="C38" s="27" t="s">
        <v>147</v>
      </c>
      <c r="D38" s="27" t="s">
        <v>15</v>
      </c>
      <c r="E38" s="28">
        <v>23000.0</v>
      </c>
      <c r="G38" s="66"/>
      <c r="H38" s="12"/>
      <c r="I38" s="12"/>
      <c r="J38" s="12"/>
      <c r="K38" s="67"/>
      <c r="L38" s="66"/>
      <c r="M38" s="12"/>
      <c r="N38" s="12"/>
      <c r="O38" s="12"/>
      <c r="P38" s="67"/>
      <c r="Q38" s="66"/>
      <c r="R38" s="12"/>
      <c r="S38" s="12"/>
      <c r="T38" s="12"/>
      <c r="U38" s="67"/>
    </row>
    <row r="39">
      <c r="B39" s="36">
        <v>45957.0</v>
      </c>
      <c r="C39" s="21" t="s">
        <v>147</v>
      </c>
      <c r="D39" s="21" t="s">
        <v>15</v>
      </c>
      <c r="E39" s="22">
        <v>30000.0</v>
      </c>
      <c r="G39" s="66"/>
      <c r="H39" s="12"/>
      <c r="I39" s="12"/>
      <c r="J39" s="12"/>
      <c r="K39" s="67"/>
      <c r="L39" s="66"/>
      <c r="M39" s="12"/>
      <c r="N39" s="12"/>
      <c r="O39" s="12"/>
      <c r="P39" s="67"/>
      <c r="Q39" s="66"/>
      <c r="R39" s="12"/>
      <c r="S39" s="12"/>
      <c r="T39" s="12"/>
      <c r="U39" s="67"/>
    </row>
    <row r="40">
      <c r="B40" s="32">
        <v>45957.0</v>
      </c>
      <c r="C40" s="27" t="s">
        <v>204</v>
      </c>
      <c r="D40" s="27" t="s">
        <v>15</v>
      </c>
      <c r="E40" s="28">
        <v>250000.0</v>
      </c>
      <c r="G40" s="66"/>
      <c r="H40" s="12"/>
      <c r="I40" s="12"/>
      <c r="J40" s="12"/>
      <c r="K40" s="67"/>
      <c r="L40" s="66"/>
      <c r="M40" s="12"/>
      <c r="N40" s="12"/>
      <c r="O40" s="12"/>
      <c r="P40" s="67"/>
      <c r="Q40" s="66"/>
      <c r="R40" s="12"/>
      <c r="S40" s="12"/>
      <c r="T40" s="12"/>
      <c r="U40" s="67"/>
    </row>
    <row r="41">
      <c r="B41" s="36">
        <v>45957.0</v>
      </c>
      <c r="C41" s="21" t="s">
        <v>204</v>
      </c>
      <c r="D41" s="21" t="s">
        <v>15</v>
      </c>
      <c r="E41" s="22">
        <v>130875.0</v>
      </c>
      <c r="G41" s="66"/>
      <c r="H41" s="12"/>
      <c r="I41" s="12"/>
      <c r="J41" s="12"/>
      <c r="K41" s="67"/>
      <c r="L41" s="66"/>
      <c r="M41" s="12"/>
      <c r="N41" s="12"/>
      <c r="O41" s="12"/>
      <c r="P41" s="67"/>
      <c r="Q41" s="66"/>
      <c r="R41" s="12"/>
      <c r="S41" s="12"/>
      <c r="T41" s="12"/>
      <c r="U41" s="67"/>
    </row>
    <row r="42">
      <c r="B42" s="32">
        <v>45958.0</v>
      </c>
      <c r="C42" s="27" t="s">
        <v>185</v>
      </c>
      <c r="D42" s="27" t="s">
        <v>15</v>
      </c>
      <c r="E42" s="28">
        <v>29715.0</v>
      </c>
      <c r="G42" s="66"/>
      <c r="H42" s="12"/>
      <c r="I42" s="12"/>
      <c r="J42" s="12"/>
      <c r="K42" s="67"/>
      <c r="L42" s="66"/>
      <c r="M42" s="12"/>
      <c r="N42" s="12"/>
      <c r="O42" s="12"/>
      <c r="P42" s="67"/>
      <c r="Q42" s="66"/>
      <c r="R42" s="12"/>
      <c r="S42" s="12"/>
      <c r="T42" s="12"/>
      <c r="U42" s="67"/>
    </row>
    <row r="43">
      <c r="B43" s="36">
        <v>45958.0</v>
      </c>
      <c r="C43" s="21" t="s">
        <v>163</v>
      </c>
      <c r="D43" s="21" t="s">
        <v>15</v>
      </c>
      <c r="E43" s="22">
        <v>19950.0</v>
      </c>
      <c r="G43" s="66"/>
      <c r="H43" s="12"/>
      <c r="I43" s="12"/>
      <c r="J43" s="12"/>
      <c r="K43" s="67"/>
      <c r="L43" s="66"/>
      <c r="M43" s="12"/>
      <c r="N43" s="12"/>
      <c r="O43" s="12"/>
      <c r="P43" s="67"/>
      <c r="Q43" s="66"/>
      <c r="R43" s="12"/>
      <c r="S43" s="12"/>
      <c r="T43" s="12"/>
      <c r="U43" s="67"/>
    </row>
    <row r="44">
      <c r="B44" s="32">
        <v>45959.0</v>
      </c>
      <c r="C44" s="27" t="s">
        <v>182</v>
      </c>
      <c r="D44" s="27" t="s">
        <v>15</v>
      </c>
      <c r="E44" s="28">
        <v>140050.0</v>
      </c>
      <c r="G44" s="66"/>
      <c r="H44" s="12"/>
      <c r="I44" s="12"/>
      <c r="J44" s="12"/>
      <c r="K44" s="67"/>
      <c r="L44" s="66"/>
      <c r="M44" s="12"/>
      <c r="N44" s="12"/>
      <c r="O44" s="12"/>
      <c r="P44" s="67"/>
      <c r="Q44" s="66"/>
      <c r="R44" s="12"/>
      <c r="S44" s="12"/>
      <c r="T44" s="12"/>
      <c r="U44" s="67"/>
    </row>
    <row r="45">
      <c r="B45" s="36">
        <v>45961.0</v>
      </c>
      <c r="C45" s="21" t="s">
        <v>194</v>
      </c>
      <c r="D45" s="21" t="s">
        <v>15</v>
      </c>
      <c r="E45" s="22">
        <v>23485.0</v>
      </c>
      <c r="G45" s="66"/>
      <c r="H45" s="12"/>
      <c r="I45" s="12"/>
      <c r="J45" s="12"/>
      <c r="K45" s="67"/>
      <c r="L45" s="66"/>
      <c r="M45" s="12"/>
      <c r="N45" s="12"/>
      <c r="O45" s="12"/>
      <c r="P45" s="67"/>
      <c r="Q45" s="66"/>
      <c r="R45" s="12"/>
      <c r="S45" s="12"/>
      <c r="T45" s="12"/>
      <c r="U45" s="67"/>
    </row>
    <row r="46">
      <c r="B46" s="32">
        <v>45932.0</v>
      </c>
      <c r="C46" s="27" t="s">
        <v>184</v>
      </c>
      <c r="D46" s="27" t="s">
        <v>15</v>
      </c>
      <c r="E46" s="28">
        <v>120000.0</v>
      </c>
      <c r="G46" s="66"/>
      <c r="H46" s="12"/>
      <c r="I46" s="12"/>
      <c r="J46" s="12"/>
      <c r="K46" s="67"/>
      <c r="L46" s="66"/>
      <c r="M46" s="12"/>
      <c r="N46" s="12"/>
      <c r="O46" s="12"/>
      <c r="P46" s="67"/>
      <c r="Q46" s="66"/>
      <c r="R46" s="12"/>
      <c r="S46" s="12"/>
      <c r="T46" s="12"/>
      <c r="U46" s="67"/>
    </row>
    <row r="47">
      <c r="B47" s="36">
        <v>45932.0</v>
      </c>
      <c r="C47" s="21" t="s">
        <v>175</v>
      </c>
      <c r="D47" s="21" t="s">
        <v>15</v>
      </c>
      <c r="E47" s="22">
        <v>60000.0</v>
      </c>
      <c r="G47" s="66"/>
      <c r="H47" s="12"/>
      <c r="I47" s="12"/>
      <c r="J47" s="12"/>
      <c r="K47" s="67"/>
      <c r="L47" s="66"/>
      <c r="M47" s="12"/>
      <c r="N47" s="12"/>
      <c r="O47" s="12"/>
      <c r="P47" s="67"/>
      <c r="Q47" s="66"/>
      <c r="R47" s="12"/>
      <c r="S47" s="12"/>
      <c r="T47" s="12"/>
      <c r="U47" s="67"/>
    </row>
    <row r="48">
      <c r="B48" s="32">
        <v>45932.0</v>
      </c>
      <c r="C48" s="27" t="s">
        <v>205</v>
      </c>
      <c r="D48" s="27" t="s">
        <v>15</v>
      </c>
      <c r="E48" s="28">
        <v>30000.0</v>
      </c>
      <c r="G48" s="66"/>
      <c r="H48" s="12"/>
      <c r="I48" s="12"/>
      <c r="J48" s="12"/>
      <c r="K48" s="67"/>
      <c r="L48" s="66"/>
      <c r="M48" s="12"/>
      <c r="N48" s="12"/>
      <c r="O48" s="12"/>
      <c r="P48" s="67"/>
      <c r="Q48" s="66"/>
      <c r="R48" s="12"/>
      <c r="S48" s="12"/>
      <c r="T48" s="12"/>
      <c r="U48" s="67"/>
    </row>
    <row r="49">
      <c r="B49" s="36">
        <v>45933.0</v>
      </c>
      <c r="C49" s="21" t="s">
        <v>180</v>
      </c>
      <c r="D49" s="21" t="s">
        <v>15</v>
      </c>
      <c r="E49" s="22">
        <v>27000.0</v>
      </c>
      <c r="G49" s="66"/>
      <c r="H49" s="12"/>
      <c r="I49" s="12"/>
      <c r="J49" s="12"/>
      <c r="K49" s="67"/>
      <c r="L49" s="66"/>
      <c r="M49" s="12"/>
      <c r="N49" s="12"/>
      <c r="O49" s="12"/>
      <c r="P49" s="67"/>
      <c r="Q49" s="66"/>
      <c r="R49" s="12"/>
      <c r="S49" s="12"/>
      <c r="T49" s="12"/>
      <c r="U49" s="67"/>
    </row>
    <row r="50">
      <c r="B50" s="32">
        <v>45934.0</v>
      </c>
      <c r="C50" s="27" t="s">
        <v>206</v>
      </c>
      <c r="D50" s="27" t="s">
        <v>15</v>
      </c>
      <c r="E50" s="28">
        <v>100000.0</v>
      </c>
      <c r="G50" s="66"/>
      <c r="H50" s="12"/>
      <c r="I50" s="12"/>
      <c r="J50" s="12"/>
      <c r="K50" s="67"/>
      <c r="L50" s="66"/>
      <c r="M50" s="12"/>
      <c r="N50" s="12"/>
      <c r="O50" s="12"/>
      <c r="P50" s="67"/>
      <c r="Q50" s="66"/>
      <c r="R50" s="12"/>
      <c r="S50" s="12"/>
      <c r="T50" s="12"/>
      <c r="U50" s="67"/>
    </row>
    <row r="51">
      <c r="B51" s="36">
        <v>45934.0</v>
      </c>
      <c r="C51" s="21" t="s">
        <v>207</v>
      </c>
      <c r="D51" s="21" t="s">
        <v>15</v>
      </c>
      <c r="E51" s="22">
        <v>30000.0</v>
      </c>
      <c r="G51" s="66"/>
      <c r="H51" s="12"/>
      <c r="I51" s="12"/>
      <c r="J51" s="12"/>
      <c r="K51" s="67"/>
      <c r="L51" s="66"/>
      <c r="M51" s="12"/>
      <c r="N51" s="12"/>
      <c r="O51" s="12"/>
      <c r="P51" s="67"/>
      <c r="Q51" s="66"/>
      <c r="R51" s="12"/>
      <c r="S51" s="12"/>
      <c r="T51" s="12"/>
      <c r="U51" s="67"/>
    </row>
    <row r="52">
      <c r="B52" s="32">
        <v>45939.0</v>
      </c>
      <c r="C52" s="27" t="s">
        <v>206</v>
      </c>
      <c r="D52" s="27" t="s">
        <v>15</v>
      </c>
      <c r="E52" s="28">
        <v>15000.0</v>
      </c>
      <c r="G52" s="66"/>
      <c r="H52" s="12"/>
      <c r="I52" s="12"/>
      <c r="J52" s="12"/>
      <c r="K52" s="67"/>
      <c r="L52" s="66"/>
      <c r="M52" s="12"/>
      <c r="N52" s="12"/>
      <c r="O52" s="12"/>
      <c r="P52" s="67"/>
      <c r="Q52" s="66"/>
      <c r="R52" s="12"/>
      <c r="S52" s="12"/>
      <c r="T52" s="12"/>
      <c r="U52" s="67"/>
    </row>
    <row r="53">
      <c r="B53" s="36">
        <v>45939.0</v>
      </c>
      <c r="C53" s="21" t="s">
        <v>207</v>
      </c>
      <c r="D53" s="21" t="s">
        <v>15</v>
      </c>
      <c r="E53" s="22">
        <v>20000.0</v>
      </c>
      <c r="G53" s="66"/>
      <c r="H53" s="12"/>
      <c r="I53" s="12"/>
      <c r="J53" s="12"/>
      <c r="K53" s="67"/>
      <c r="L53" s="66"/>
      <c r="M53" s="12"/>
      <c r="N53" s="12"/>
      <c r="O53" s="12"/>
      <c r="P53" s="67"/>
      <c r="Q53" s="66"/>
      <c r="R53" s="12"/>
      <c r="S53" s="12"/>
      <c r="T53" s="12"/>
      <c r="U53" s="67"/>
    </row>
    <row r="54">
      <c r="B54" s="32">
        <v>45939.0</v>
      </c>
      <c r="C54" s="27" t="s">
        <v>175</v>
      </c>
      <c r="D54" s="27" t="s">
        <v>15</v>
      </c>
      <c r="E54" s="28">
        <v>15000.0</v>
      </c>
      <c r="G54" s="66"/>
      <c r="H54" s="12"/>
      <c r="I54" s="12"/>
      <c r="J54" s="12"/>
      <c r="K54" s="67"/>
      <c r="L54" s="66"/>
      <c r="M54" s="12"/>
      <c r="N54" s="12"/>
      <c r="O54" s="12"/>
      <c r="P54" s="67"/>
      <c r="Q54" s="66"/>
      <c r="R54" s="12"/>
      <c r="S54" s="12"/>
      <c r="T54" s="12"/>
      <c r="U54" s="67"/>
    </row>
    <row r="55">
      <c r="B55" s="36">
        <v>45943.0</v>
      </c>
      <c r="C55" s="21" t="s">
        <v>206</v>
      </c>
      <c r="D55" s="21" t="s">
        <v>15</v>
      </c>
      <c r="E55" s="22">
        <v>80000.0</v>
      </c>
      <c r="G55" s="66"/>
      <c r="H55" s="12"/>
      <c r="I55" s="12"/>
      <c r="J55" s="12"/>
      <c r="K55" s="67"/>
      <c r="L55" s="66"/>
      <c r="M55" s="12"/>
      <c r="N55" s="12"/>
      <c r="O55" s="12"/>
      <c r="P55" s="67"/>
      <c r="Q55" s="66"/>
      <c r="R55" s="12"/>
      <c r="S55" s="12"/>
      <c r="T55" s="12"/>
      <c r="U55" s="67"/>
    </row>
    <row r="56">
      <c r="B56" s="32">
        <v>45943.0</v>
      </c>
      <c r="C56" s="27" t="s">
        <v>208</v>
      </c>
      <c r="D56" s="27" t="s">
        <v>15</v>
      </c>
      <c r="E56" s="28">
        <v>16972.0</v>
      </c>
      <c r="G56" s="66"/>
      <c r="H56" s="12"/>
      <c r="I56" s="12"/>
      <c r="J56" s="12"/>
      <c r="K56" s="67"/>
      <c r="L56" s="66"/>
      <c r="M56" s="12"/>
      <c r="N56" s="12"/>
      <c r="O56" s="12"/>
      <c r="P56" s="67"/>
      <c r="Q56" s="66"/>
      <c r="R56" s="12"/>
      <c r="S56" s="12"/>
      <c r="T56" s="12"/>
      <c r="U56" s="67"/>
    </row>
    <row r="57">
      <c r="B57" s="36">
        <v>45943.0</v>
      </c>
      <c r="C57" s="21" t="s">
        <v>209</v>
      </c>
      <c r="D57" s="21" t="s">
        <v>15</v>
      </c>
      <c r="E57" s="22">
        <v>2109.0</v>
      </c>
      <c r="G57" s="66"/>
      <c r="H57" s="12"/>
      <c r="I57" s="12"/>
      <c r="J57" s="12"/>
      <c r="K57" s="67"/>
      <c r="L57" s="66"/>
      <c r="M57" s="12"/>
      <c r="N57" s="12"/>
      <c r="O57" s="12"/>
      <c r="P57" s="67"/>
      <c r="Q57" s="66"/>
      <c r="R57" s="12"/>
      <c r="S57" s="12"/>
      <c r="T57" s="12"/>
      <c r="U57" s="67"/>
    </row>
    <row r="58">
      <c r="B58" s="32">
        <v>45945.0</v>
      </c>
      <c r="C58" s="27" t="s">
        <v>175</v>
      </c>
      <c r="D58" s="27" t="s">
        <v>15</v>
      </c>
      <c r="E58" s="28">
        <v>105000.0</v>
      </c>
      <c r="G58" s="66"/>
      <c r="H58" s="12"/>
      <c r="I58" s="12"/>
      <c r="J58" s="12"/>
      <c r="K58" s="67"/>
      <c r="L58" s="66"/>
      <c r="M58" s="12"/>
      <c r="N58" s="12"/>
      <c r="O58" s="12"/>
      <c r="P58" s="67"/>
      <c r="Q58" s="66"/>
      <c r="R58" s="12"/>
      <c r="S58" s="12"/>
      <c r="T58" s="12"/>
      <c r="U58" s="67"/>
    </row>
    <row r="59">
      <c r="B59" s="36">
        <v>45948.0</v>
      </c>
      <c r="C59" s="21" t="s">
        <v>207</v>
      </c>
      <c r="D59" s="21" t="s">
        <v>15</v>
      </c>
      <c r="E59" s="22">
        <v>15000.0</v>
      </c>
      <c r="G59" s="66"/>
      <c r="H59" s="12"/>
      <c r="I59" s="12"/>
      <c r="J59" s="12"/>
      <c r="K59" s="67"/>
      <c r="L59" s="66"/>
      <c r="M59" s="12"/>
      <c r="N59" s="12"/>
      <c r="O59" s="12"/>
      <c r="P59" s="67"/>
      <c r="Q59" s="66"/>
      <c r="R59" s="12"/>
      <c r="S59" s="12"/>
      <c r="T59" s="12"/>
      <c r="U59" s="67"/>
    </row>
    <row r="60">
      <c r="B60" s="32">
        <v>45950.0</v>
      </c>
      <c r="C60" s="27" t="s">
        <v>207</v>
      </c>
      <c r="D60" s="27" t="s">
        <v>15</v>
      </c>
      <c r="E60" s="28">
        <v>20000.0</v>
      </c>
      <c r="G60" s="66"/>
      <c r="H60" s="12"/>
      <c r="I60" s="12"/>
      <c r="J60" s="12"/>
      <c r="K60" s="67"/>
      <c r="L60" s="66"/>
      <c r="M60" s="12"/>
      <c r="N60" s="12"/>
      <c r="O60" s="12"/>
      <c r="P60" s="67"/>
      <c r="Q60" s="66"/>
      <c r="R60" s="12"/>
      <c r="S60" s="12"/>
      <c r="T60" s="12"/>
      <c r="U60" s="67"/>
    </row>
    <row r="61">
      <c r="B61" s="36">
        <v>45951.0</v>
      </c>
      <c r="C61" s="21" t="s">
        <v>210</v>
      </c>
      <c r="D61" s="21" t="s">
        <v>15</v>
      </c>
      <c r="E61" s="22">
        <v>68000.0</v>
      </c>
      <c r="G61" s="66"/>
      <c r="H61" s="12"/>
      <c r="I61" s="12"/>
      <c r="J61" s="12"/>
      <c r="K61" s="67"/>
      <c r="L61" s="66"/>
      <c r="M61" s="12"/>
      <c r="N61" s="12"/>
      <c r="O61" s="12"/>
      <c r="P61" s="67"/>
      <c r="Q61" s="66"/>
      <c r="R61" s="12"/>
      <c r="S61" s="12"/>
      <c r="T61" s="12"/>
      <c r="U61" s="67"/>
    </row>
    <row r="62">
      <c r="B62" s="32">
        <v>45952.0</v>
      </c>
      <c r="C62" s="27" t="s">
        <v>211</v>
      </c>
      <c r="D62" s="27" t="s">
        <v>15</v>
      </c>
      <c r="E62" s="28">
        <v>25000.0</v>
      </c>
      <c r="G62" s="66"/>
      <c r="H62" s="12"/>
      <c r="I62" s="12"/>
      <c r="J62" s="12"/>
      <c r="K62" s="67"/>
      <c r="L62" s="66"/>
      <c r="M62" s="12"/>
      <c r="N62" s="12"/>
      <c r="O62" s="12"/>
      <c r="P62" s="67"/>
      <c r="Q62" s="66"/>
      <c r="R62" s="12"/>
      <c r="S62" s="12"/>
      <c r="T62" s="12"/>
      <c r="U62" s="67"/>
    </row>
    <row r="63">
      <c r="B63" s="36">
        <v>45953.0</v>
      </c>
      <c r="C63" s="21" t="s">
        <v>207</v>
      </c>
      <c r="D63" s="21" t="s">
        <v>15</v>
      </c>
      <c r="E63" s="22">
        <v>5000.0</v>
      </c>
      <c r="G63" s="66"/>
      <c r="H63" s="12"/>
      <c r="I63" s="12"/>
      <c r="J63" s="12"/>
      <c r="K63" s="67"/>
      <c r="L63" s="66"/>
      <c r="M63" s="12"/>
      <c r="N63" s="12"/>
      <c r="O63" s="12"/>
      <c r="P63" s="67"/>
      <c r="Q63" s="66"/>
      <c r="R63" s="12"/>
      <c r="S63" s="12"/>
      <c r="T63" s="12"/>
      <c r="U63" s="67"/>
    </row>
    <row r="64">
      <c r="B64" s="32">
        <v>45953.0</v>
      </c>
      <c r="C64" s="27" t="s">
        <v>212</v>
      </c>
      <c r="D64" s="27" t="s">
        <v>15</v>
      </c>
      <c r="E64" s="28">
        <v>35000.0</v>
      </c>
      <c r="G64" s="66"/>
      <c r="H64" s="12"/>
      <c r="I64" s="12"/>
      <c r="J64" s="12"/>
      <c r="K64" s="67"/>
      <c r="L64" s="66"/>
      <c r="M64" s="12"/>
      <c r="N64" s="12"/>
      <c r="O64" s="12"/>
      <c r="P64" s="67"/>
      <c r="Q64" s="66"/>
      <c r="R64" s="12"/>
      <c r="S64" s="12"/>
      <c r="T64" s="12"/>
      <c r="U64" s="67"/>
    </row>
    <row r="65">
      <c r="B65" s="36">
        <v>45955.0</v>
      </c>
      <c r="C65" s="21" t="s">
        <v>206</v>
      </c>
      <c r="D65" s="21" t="s">
        <v>15</v>
      </c>
      <c r="E65" s="22">
        <v>15000.0</v>
      </c>
      <c r="G65" s="66"/>
      <c r="H65" s="12"/>
      <c r="I65" s="12"/>
      <c r="J65" s="12"/>
      <c r="K65" s="67"/>
      <c r="L65" s="66"/>
      <c r="M65" s="12"/>
      <c r="N65" s="12"/>
      <c r="O65" s="12"/>
      <c r="P65" s="67"/>
      <c r="Q65" s="66"/>
      <c r="R65" s="12"/>
      <c r="S65" s="12"/>
      <c r="T65" s="12"/>
      <c r="U65" s="67"/>
    </row>
    <row r="66">
      <c r="B66" s="32">
        <v>45955.0</v>
      </c>
      <c r="C66" s="27" t="s">
        <v>213</v>
      </c>
      <c r="D66" s="27" t="s">
        <v>15</v>
      </c>
      <c r="E66" s="28">
        <v>35000.0</v>
      </c>
      <c r="G66" s="66"/>
      <c r="H66" s="12"/>
      <c r="I66" s="12"/>
      <c r="J66" s="12"/>
      <c r="K66" s="67"/>
      <c r="L66" s="66"/>
      <c r="M66" s="12"/>
      <c r="N66" s="12"/>
      <c r="O66" s="12"/>
      <c r="P66" s="67"/>
      <c r="Q66" s="66"/>
      <c r="R66" s="12"/>
      <c r="S66" s="12"/>
      <c r="T66" s="12"/>
      <c r="U66" s="67"/>
    </row>
    <row r="67">
      <c r="B67" s="36">
        <v>45960.0</v>
      </c>
      <c r="C67" s="21" t="s">
        <v>207</v>
      </c>
      <c r="D67" s="21" t="s">
        <v>15</v>
      </c>
      <c r="E67" s="22">
        <v>15000.0</v>
      </c>
      <c r="G67" s="66"/>
      <c r="H67" s="12"/>
      <c r="I67" s="12"/>
      <c r="J67" s="12"/>
      <c r="K67" s="67"/>
      <c r="L67" s="66"/>
      <c r="M67" s="12"/>
      <c r="N67" s="12"/>
      <c r="O67" s="12"/>
      <c r="P67" s="67"/>
      <c r="Q67" s="66"/>
      <c r="R67" s="12"/>
      <c r="S67" s="12"/>
      <c r="T67" s="12"/>
      <c r="U67" s="67"/>
    </row>
    <row r="68">
      <c r="B68" s="32">
        <v>45958.0</v>
      </c>
      <c r="C68" s="27" t="s">
        <v>175</v>
      </c>
      <c r="D68" s="27" t="s">
        <v>15</v>
      </c>
      <c r="E68" s="28">
        <v>120000.0</v>
      </c>
      <c r="G68" s="66"/>
      <c r="H68" s="12"/>
      <c r="I68" s="12"/>
      <c r="J68" s="12"/>
      <c r="K68" s="67"/>
      <c r="L68" s="66"/>
      <c r="M68" s="12"/>
      <c r="N68" s="12"/>
      <c r="O68" s="12"/>
      <c r="P68" s="67"/>
      <c r="Q68" s="66"/>
      <c r="R68" s="12"/>
      <c r="S68" s="12"/>
      <c r="T68" s="12"/>
      <c r="U68" s="67"/>
    </row>
    <row r="69">
      <c r="B69" s="37" t="s">
        <v>48</v>
      </c>
      <c r="C69" s="2"/>
      <c r="D69" s="2"/>
      <c r="E69" s="38">
        <f>SUM(E5:E68)</f>
        <v>3259901</v>
      </c>
      <c r="G69" s="68"/>
      <c r="H69" s="69"/>
      <c r="I69" s="69"/>
      <c r="J69" s="68"/>
      <c r="K69" s="70"/>
      <c r="L69" s="71"/>
      <c r="M69" s="12"/>
      <c r="N69" s="12"/>
      <c r="O69" s="72" t="s">
        <v>48</v>
      </c>
      <c r="P69" s="70"/>
      <c r="Q69" s="71"/>
      <c r="R69" s="12"/>
      <c r="S69" s="12"/>
      <c r="T69" s="72" t="s">
        <v>48</v>
      </c>
      <c r="U69" s="70">
        <f>SUM(U5,U5:U68)</f>
        <v>0</v>
      </c>
    </row>
    <row r="70">
      <c r="B70" s="48"/>
      <c r="G70" s="72" t="s">
        <v>49</v>
      </c>
      <c r="U70" s="76">
        <f>SUM(K69,P69,U69)</f>
        <v>0</v>
      </c>
    </row>
    <row r="73">
      <c r="T73" s="50" t="s">
        <v>1</v>
      </c>
      <c r="U73" s="51">
        <f>SUM(U70)</f>
        <v>0</v>
      </c>
    </row>
    <row r="74">
      <c r="T74" s="52" t="s">
        <v>0</v>
      </c>
      <c r="U74" s="53">
        <f>E69</f>
        <v>3259901</v>
      </c>
    </row>
    <row r="75">
      <c r="T75" s="54" t="s">
        <v>50</v>
      </c>
      <c r="U75" s="49">
        <f>SUM(U73-U74)</f>
        <v>-3259901</v>
      </c>
    </row>
  </sheetData>
  <mergeCells count="9">
    <mergeCell ref="B70:E70"/>
    <mergeCell ref="G70:T70"/>
    <mergeCell ref="B2:E2"/>
    <mergeCell ref="G2:U2"/>
    <mergeCell ref="B3:E3"/>
    <mergeCell ref="G3:K3"/>
    <mergeCell ref="L3:P3"/>
    <mergeCell ref="Q3:U3"/>
    <mergeCell ref="B69:D6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32.63"/>
    <col customWidth="1" min="4" max="4" width="14.5"/>
    <col customWidth="1" min="5" max="5" width="11.25"/>
    <col customWidth="1" min="6" max="6" width="26.25"/>
    <col customWidth="1" min="7" max="7" width="15.0"/>
    <col customWidth="1" min="8" max="8" width="16.88"/>
    <col customWidth="1" min="9" max="9" width="20.0"/>
    <col customWidth="1" min="10" max="10" width="17.63"/>
    <col customWidth="1" min="13" max="13" width="18.25"/>
    <col customWidth="1" min="14" max="14" width="21.13"/>
    <col customWidth="1" min="15" max="15" width="17.88"/>
    <col customWidth="1" min="18" max="18" width="14.5"/>
    <col customWidth="1" min="19" max="19" width="17.63"/>
    <col customWidth="1" min="20" max="20" width="18.13"/>
  </cols>
  <sheetData>
    <row r="2">
      <c r="B2" s="1" t="s">
        <v>0</v>
      </c>
      <c r="C2" s="2"/>
      <c r="D2" s="2"/>
      <c r="E2" s="3"/>
      <c r="G2" s="58"/>
    </row>
    <row r="3">
      <c r="B3" s="4" t="s">
        <v>2</v>
      </c>
      <c r="C3" s="5"/>
      <c r="D3" s="5"/>
      <c r="E3" s="6"/>
      <c r="G3" s="59"/>
      <c r="L3" s="58"/>
      <c r="Q3" s="58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2"/>
      <c r="G4" s="60"/>
      <c r="H4" s="61"/>
      <c r="I4" s="60"/>
      <c r="J4" s="61"/>
      <c r="K4" s="62"/>
      <c r="L4" s="63"/>
      <c r="M4" s="63"/>
      <c r="N4" s="63"/>
      <c r="O4" s="63"/>
      <c r="P4" s="58"/>
      <c r="Q4" s="63"/>
      <c r="R4" s="63"/>
      <c r="S4" s="63"/>
      <c r="T4" s="63"/>
      <c r="U4" s="58"/>
    </row>
    <row r="5">
      <c r="B5" s="20">
        <v>45965.0</v>
      </c>
      <c r="C5" s="21" t="s">
        <v>214</v>
      </c>
      <c r="D5" s="21" t="s">
        <v>15</v>
      </c>
      <c r="E5" s="22">
        <v>60000.0</v>
      </c>
      <c r="F5" s="61" t="s">
        <v>215</v>
      </c>
      <c r="G5" s="64"/>
      <c r="H5" s="61"/>
      <c r="I5" s="61"/>
      <c r="J5" s="61"/>
      <c r="K5" s="65"/>
      <c r="L5" s="64"/>
      <c r="M5" s="61"/>
      <c r="N5" s="61"/>
      <c r="O5" s="61"/>
      <c r="P5" s="65"/>
      <c r="Q5" s="66"/>
      <c r="R5" s="12"/>
      <c r="S5" s="12"/>
      <c r="T5" s="12"/>
      <c r="U5" s="67"/>
    </row>
    <row r="6">
      <c r="B6" s="26">
        <v>45972.0</v>
      </c>
      <c r="C6" s="27" t="s">
        <v>216</v>
      </c>
      <c r="D6" s="27" t="s">
        <v>15</v>
      </c>
      <c r="E6" s="28">
        <v>39814.0</v>
      </c>
      <c r="F6" s="61" t="s">
        <v>215</v>
      </c>
      <c r="G6" s="64"/>
      <c r="H6" s="61"/>
      <c r="I6" s="61"/>
      <c r="J6" s="61"/>
      <c r="K6" s="65"/>
      <c r="L6" s="64"/>
      <c r="M6" s="61"/>
      <c r="N6" s="61"/>
      <c r="O6" s="61"/>
      <c r="P6" s="65"/>
      <c r="Q6" s="66"/>
      <c r="R6" s="12"/>
      <c r="S6" s="12"/>
      <c r="T6" s="12"/>
      <c r="U6" s="67"/>
    </row>
    <row r="7">
      <c r="B7" s="20">
        <v>45972.0</v>
      </c>
      <c r="C7" s="21" t="s">
        <v>216</v>
      </c>
      <c r="D7" s="21" t="s">
        <v>15</v>
      </c>
      <c r="E7" s="22">
        <v>58108.0</v>
      </c>
      <c r="F7" s="61" t="s">
        <v>215</v>
      </c>
      <c r="G7" s="64"/>
      <c r="H7" s="61"/>
      <c r="I7" s="61"/>
      <c r="J7" s="61"/>
      <c r="K7" s="65"/>
      <c r="L7" s="64"/>
      <c r="M7" s="61"/>
      <c r="N7" s="61"/>
      <c r="O7" s="61"/>
      <c r="P7" s="65"/>
      <c r="Q7" s="66"/>
      <c r="R7" s="12"/>
      <c r="S7" s="12"/>
      <c r="T7" s="12"/>
      <c r="U7" s="67"/>
    </row>
    <row r="8">
      <c r="B8" s="26">
        <v>45972.0</v>
      </c>
      <c r="C8" s="27" t="s">
        <v>216</v>
      </c>
      <c r="D8" s="27" t="s">
        <v>15</v>
      </c>
      <c r="E8" s="28">
        <v>51280.0</v>
      </c>
      <c r="F8" s="61" t="s">
        <v>215</v>
      </c>
      <c r="G8" s="64"/>
      <c r="H8" s="61"/>
      <c r="I8" s="61"/>
      <c r="J8" s="61"/>
      <c r="K8" s="65"/>
      <c r="L8" s="64"/>
      <c r="M8" s="61"/>
      <c r="N8" s="61"/>
      <c r="O8" s="61"/>
      <c r="P8" s="65"/>
      <c r="Q8" s="66"/>
      <c r="R8" s="12"/>
      <c r="S8" s="12"/>
      <c r="T8" s="12"/>
      <c r="U8" s="67"/>
    </row>
    <row r="9">
      <c r="B9" s="20">
        <v>45973.0</v>
      </c>
      <c r="C9" s="21" t="s">
        <v>217</v>
      </c>
      <c r="D9" s="21" t="s">
        <v>15</v>
      </c>
      <c r="E9" s="22">
        <v>49300.0</v>
      </c>
      <c r="F9" s="61" t="s">
        <v>215</v>
      </c>
      <c r="G9" s="64"/>
      <c r="H9" s="61"/>
      <c r="I9" s="61"/>
      <c r="J9" s="61"/>
      <c r="K9" s="65"/>
      <c r="L9" s="64"/>
      <c r="M9" s="61"/>
      <c r="N9" s="61"/>
      <c r="O9" s="61"/>
      <c r="P9" s="65"/>
      <c r="Q9" s="66"/>
      <c r="R9" s="12"/>
      <c r="S9" s="12"/>
      <c r="T9" s="12"/>
      <c r="U9" s="67"/>
    </row>
    <row r="10">
      <c r="B10" s="26">
        <v>45973.0</v>
      </c>
      <c r="C10" s="27" t="s">
        <v>218</v>
      </c>
      <c r="D10" s="27" t="s">
        <v>15</v>
      </c>
      <c r="E10" s="28">
        <v>33599.0</v>
      </c>
      <c r="F10" s="61" t="s">
        <v>215</v>
      </c>
      <c r="G10" s="64"/>
      <c r="H10" s="61"/>
      <c r="I10" s="61"/>
      <c r="J10" s="61"/>
      <c r="K10" s="65"/>
      <c r="L10" s="64"/>
      <c r="M10" s="61"/>
      <c r="N10" s="61"/>
      <c r="O10" s="61"/>
      <c r="P10" s="65"/>
      <c r="Q10" s="66"/>
      <c r="R10" s="12"/>
      <c r="S10" s="12"/>
      <c r="T10" s="12"/>
      <c r="U10" s="67"/>
    </row>
    <row r="11">
      <c r="B11" s="20">
        <v>45975.0</v>
      </c>
      <c r="C11" s="21" t="s">
        <v>219</v>
      </c>
      <c r="D11" s="21" t="s">
        <v>15</v>
      </c>
      <c r="E11" s="22">
        <v>12200.0</v>
      </c>
      <c r="F11" s="61" t="s">
        <v>215</v>
      </c>
      <c r="G11" s="64"/>
      <c r="H11" s="61"/>
      <c r="I11" s="61"/>
      <c r="J11" s="61"/>
      <c r="K11" s="65"/>
      <c r="L11" s="64"/>
      <c r="M11" s="61"/>
      <c r="N11" s="61"/>
      <c r="O11" s="61"/>
      <c r="P11" s="65"/>
      <c r="Q11" s="66"/>
      <c r="R11" s="12"/>
      <c r="S11" s="12"/>
      <c r="T11" s="12"/>
      <c r="U11" s="67"/>
    </row>
    <row r="12">
      <c r="B12" s="26">
        <v>45975.0</v>
      </c>
      <c r="C12" s="27" t="s">
        <v>220</v>
      </c>
      <c r="D12" s="27" t="s">
        <v>15</v>
      </c>
      <c r="E12" s="28">
        <v>190000.0</v>
      </c>
      <c r="F12" s="61" t="s">
        <v>215</v>
      </c>
      <c r="G12" s="64"/>
      <c r="H12" s="12"/>
      <c r="I12" s="61"/>
      <c r="J12" s="61"/>
      <c r="K12" s="12"/>
      <c r="L12" s="64"/>
      <c r="M12" s="61"/>
      <c r="N12" s="61"/>
      <c r="O12" s="61"/>
      <c r="P12" s="65"/>
      <c r="Q12" s="66"/>
      <c r="R12" s="12"/>
      <c r="S12" s="12"/>
      <c r="T12" s="12"/>
      <c r="U12" s="67"/>
    </row>
    <row r="13">
      <c r="B13" s="20">
        <v>45976.0</v>
      </c>
      <c r="C13" s="21" t="s">
        <v>221</v>
      </c>
      <c r="D13" s="21" t="s">
        <v>15</v>
      </c>
      <c r="E13" s="22">
        <v>116390.0</v>
      </c>
      <c r="F13" s="61" t="s">
        <v>215</v>
      </c>
      <c r="G13" s="64"/>
      <c r="H13" s="12"/>
      <c r="I13" s="61"/>
      <c r="J13" s="61"/>
      <c r="K13" s="12"/>
      <c r="L13" s="64"/>
      <c r="M13" s="12"/>
      <c r="N13" s="61"/>
      <c r="O13" s="61"/>
      <c r="P13" s="12"/>
      <c r="Q13" s="66"/>
      <c r="R13" s="12"/>
      <c r="S13" s="12"/>
      <c r="T13" s="12"/>
      <c r="U13" s="67"/>
    </row>
    <row r="14">
      <c r="B14" s="26">
        <v>45976.0</v>
      </c>
      <c r="C14" s="27" t="s">
        <v>216</v>
      </c>
      <c r="D14" s="27" t="s">
        <v>15</v>
      </c>
      <c r="E14" s="28">
        <v>7800.0</v>
      </c>
      <c r="F14" s="61" t="s">
        <v>215</v>
      </c>
      <c r="G14" s="64"/>
      <c r="H14" s="12"/>
      <c r="I14" s="61"/>
      <c r="J14" s="61"/>
      <c r="K14" s="67"/>
      <c r="L14" s="64"/>
      <c r="M14" s="12"/>
      <c r="N14" s="61"/>
      <c r="O14" s="61"/>
      <c r="P14" s="67"/>
      <c r="Q14" s="66"/>
      <c r="R14" s="12"/>
      <c r="S14" s="12"/>
      <c r="T14" s="12"/>
      <c r="U14" s="67"/>
    </row>
    <row r="15">
      <c r="B15" s="20">
        <v>45978.0</v>
      </c>
      <c r="C15" s="21" t="s">
        <v>214</v>
      </c>
      <c r="D15" s="21" t="s">
        <v>15</v>
      </c>
      <c r="E15" s="22">
        <v>60000.0</v>
      </c>
      <c r="F15" s="61" t="s">
        <v>215</v>
      </c>
      <c r="G15" s="64"/>
      <c r="H15" s="12"/>
      <c r="I15" s="61"/>
      <c r="J15" s="61"/>
      <c r="K15" s="67"/>
      <c r="L15" s="64"/>
      <c r="M15" s="12"/>
      <c r="N15" s="61"/>
      <c r="O15" s="61"/>
      <c r="P15" s="67"/>
      <c r="Q15" s="66"/>
      <c r="R15" s="12"/>
      <c r="S15" s="12"/>
      <c r="T15" s="12"/>
      <c r="U15" s="67"/>
    </row>
    <row r="16">
      <c r="B16" s="26">
        <v>45979.0</v>
      </c>
      <c r="C16" s="27" t="s">
        <v>222</v>
      </c>
      <c r="D16" s="27" t="s">
        <v>15</v>
      </c>
      <c r="E16" s="28">
        <v>24007.0</v>
      </c>
      <c r="F16" s="61" t="s">
        <v>215</v>
      </c>
      <c r="G16" s="64"/>
      <c r="H16" s="12"/>
      <c r="I16" s="61"/>
      <c r="J16" s="61"/>
      <c r="K16" s="67"/>
      <c r="L16" s="64"/>
      <c r="M16" s="12"/>
      <c r="N16" s="61"/>
      <c r="O16" s="61"/>
      <c r="P16" s="67"/>
      <c r="Q16" s="66"/>
      <c r="R16" s="12"/>
      <c r="S16" s="12"/>
      <c r="T16" s="12"/>
      <c r="U16" s="67"/>
    </row>
    <row r="17">
      <c r="B17" s="20">
        <v>45980.0</v>
      </c>
      <c r="C17" s="21" t="s">
        <v>216</v>
      </c>
      <c r="D17" s="21" t="s">
        <v>15</v>
      </c>
      <c r="E17" s="22">
        <v>15063.0</v>
      </c>
      <c r="F17" s="61" t="s">
        <v>215</v>
      </c>
      <c r="G17" s="64"/>
      <c r="H17" s="12"/>
      <c r="I17" s="61"/>
      <c r="J17" s="61"/>
      <c r="K17" s="67"/>
      <c r="L17" s="64"/>
      <c r="M17" s="12"/>
      <c r="N17" s="61"/>
      <c r="O17" s="61"/>
      <c r="P17" s="67"/>
      <c r="Q17" s="66"/>
      <c r="R17" s="12"/>
      <c r="S17" s="12"/>
      <c r="T17" s="12"/>
      <c r="U17" s="67"/>
    </row>
    <row r="18">
      <c r="B18" s="26">
        <v>45983.0</v>
      </c>
      <c r="C18" s="27" t="s">
        <v>222</v>
      </c>
      <c r="D18" s="27" t="s">
        <v>15</v>
      </c>
      <c r="E18" s="28">
        <v>30637.0</v>
      </c>
      <c r="F18" s="61" t="s">
        <v>215</v>
      </c>
      <c r="G18" s="64"/>
      <c r="H18" s="12"/>
      <c r="I18" s="61"/>
      <c r="J18" s="61"/>
      <c r="K18" s="67"/>
      <c r="L18" s="64"/>
      <c r="M18" s="12"/>
      <c r="N18" s="61"/>
      <c r="O18" s="61"/>
      <c r="P18" s="67"/>
      <c r="Q18" s="66"/>
      <c r="R18" s="12"/>
      <c r="S18" s="12"/>
      <c r="T18" s="12"/>
      <c r="U18" s="67"/>
    </row>
    <row r="19">
      <c r="B19" s="20">
        <v>45984.0</v>
      </c>
      <c r="C19" s="21" t="s">
        <v>223</v>
      </c>
      <c r="D19" s="21" t="s">
        <v>15</v>
      </c>
      <c r="E19" s="22">
        <v>9750.0</v>
      </c>
      <c r="F19" s="61" t="s">
        <v>215</v>
      </c>
      <c r="G19" s="64"/>
      <c r="H19" s="12"/>
      <c r="I19" s="61"/>
      <c r="J19" s="12"/>
      <c r="K19" s="67"/>
      <c r="L19" s="64"/>
      <c r="M19" s="12"/>
      <c r="N19" s="61"/>
      <c r="P19" s="67"/>
      <c r="Q19" s="66"/>
      <c r="R19" s="12"/>
      <c r="S19" s="12"/>
      <c r="T19" s="12"/>
      <c r="U19" s="67"/>
    </row>
    <row r="20">
      <c r="B20" s="26">
        <v>45984.0</v>
      </c>
      <c r="C20" s="27" t="s">
        <v>223</v>
      </c>
      <c r="D20" s="27" t="s">
        <v>15</v>
      </c>
      <c r="E20" s="28">
        <v>14650.0</v>
      </c>
      <c r="F20" s="61" t="s">
        <v>215</v>
      </c>
      <c r="G20" s="66"/>
      <c r="H20" s="12"/>
      <c r="I20" s="12"/>
      <c r="J20" s="12"/>
      <c r="K20" s="67"/>
      <c r="L20" s="66"/>
      <c r="M20" s="12"/>
      <c r="N20" s="61"/>
      <c r="O20" s="12"/>
      <c r="P20" s="67"/>
      <c r="Q20" s="66"/>
      <c r="R20" s="12"/>
      <c r="S20" s="12"/>
      <c r="T20" s="12"/>
      <c r="U20" s="67"/>
    </row>
    <row r="21">
      <c r="B21" s="36">
        <v>45984.0</v>
      </c>
      <c r="C21" s="21" t="s">
        <v>224</v>
      </c>
      <c r="D21" s="21" t="s">
        <v>15</v>
      </c>
      <c r="E21" s="22">
        <v>69800.0</v>
      </c>
      <c r="F21" s="61" t="s">
        <v>215</v>
      </c>
      <c r="G21" s="66"/>
      <c r="H21" s="12"/>
      <c r="I21" s="12"/>
      <c r="J21" s="12"/>
      <c r="K21" s="67"/>
      <c r="L21" s="66"/>
      <c r="M21" s="12"/>
      <c r="N21" s="12"/>
      <c r="O21" s="12"/>
      <c r="P21" s="67"/>
      <c r="Q21" s="66"/>
      <c r="R21" s="12"/>
      <c r="S21" s="12"/>
      <c r="T21" s="12"/>
      <c r="U21" s="67"/>
    </row>
    <row r="22">
      <c r="B22" s="32">
        <v>45985.0</v>
      </c>
      <c r="C22" s="27" t="s">
        <v>225</v>
      </c>
      <c r="D22" s="27" t="s">
        <v>15</v>
      </c>
      <c r="E22" s="28">
        <v>17000.0</v>
      </c>
      <c r="F22" s="61" t="s">
        <v>215</v>
      </c>
      <c r="G22" s="66"/>
      <c r="H22" s="12"/>
      <c r="I22" s="12"/>
      <c r="J22" s="12"/>
      <c r="K22" s="67"/>
      <c r="L22" s="66"/>
      <c r="M22" s="12"/>
      <c r="N22" s="12"/>
      <c r="O22" s="12"/>
      <c r="P22" s="67"/>
      <c r="Q22" s="66"/>
      <c r="R22" s="12"/>
      <c r="S22" s="12"/>
      <c r="T22" s="12"/>
      <c r="U22" s="67"/>
    </row>
    <row r="23">
      <c r="B23" s="36">
        <v>45986.0</v>
      </c>
      <c r="C23" s="21" t="s">
        <v>223</v>
      </c>
      <c r="D23" s="21" t="s">
        <v>15</v>
      </c>
      <c r="E23" s="22">
        <v>31495.0</v>
      </c>
      <c r="F23" s="61" t="s">
        <v>215</v>
      </c>
      <c r="G23" s="66"/>
      <c r="H23" s="12"/>
      <c r="I23" s="12"/>
      <c r="J23" s="12"/>
      <c r="K23" s="67"/>
      <c r="L23" s="66"/>
      <c r="M23" s="12"/>
      <c r="N23" s="12"/>
      <c r="O23" s="12"/>
      <c r="P23" s="67"/>
      <c r="Q23" s="66"/>
      <c r="R23" s="12"/>
      <c r="S23" s="12"/>
      <c r="T23" s="12"/>
      <c r="U23" s="67"/>
    </row>
    <row r="24">
      <c r="B24" s="32">
        <v>45986.0</v>
      </c>
      <c r="C24" s="27" t="s">
        <v>223</v>
      </c>
      <c r="D24" s="27" t="s">
        <v>15</v>
      </c>
      <c r="E24" s="28">
        <v>9495.0</v>
      </c>
      <c r="F24" s="61" t="s">
        <v>215</v>
      </c>
      <c r="G24" s="66"/>
      <c r="H24" s="12"/>
      <c r="I24" s="12"/>
      <c r="J24" s="12"/>
      <c r="K24" s="67"/>
      <c r="L24" s="66"/>
      <c r="M24" s="12"/>
      <c r="N24" s="12"/>
      <c r="O24" s="12"/>
      <c r="P24" s="67"/>
      <c r="Q24" s="66"/>
      <c r="R24" s="12"/>
      <c r="S24" s="12"/>
      <c r="T24" s="12"/>
      <c r="U24" s="67"/>
    </row>
    <row r="25">
      <c r="B25" s="36">
        <v>45988.0</v>
      </c>
      <c r="C25" s="21" t="s">
        <v>223</v>
      </c>
      <c r="D25" s="21" t="s">
        <v>15</v>
      </c>
      <c r="E25" s="22">
        <v>3680.0</v>
      </c>
      <c r="F25" s="61" t="s">
        <v>215</v>
      </c>
      <c r="G25" s="66"/>
      <c r="H25" s="77"/>
      <c r="I25" s="12"/>
      <c r="J25" s="12"/>
      <c r="K25" s="67"/>
      <c r="L25" s="66"/>
      <c r="M25" s="12"/>
      <c r="N25" s="12"/>
      <c r="O25" s="12"/>
      <c r="P25" s="67"/>
      <c r="Q25" s="66"/>
      <c r="R25" s="12"/>
      <c r="S25" s="12"/>
      <c r="T25" s="12"/>
      <c r="U25" s="67"/>
    </row>
    <row r="26">
      <c r="B26" s="32">
        <v>45989.0</v>
      </c>
      <c r="C26" s="27" t="s">
        <v>226</v>
      </c>
      <c r="D26" s="27" t="s">
        <v>15</v>
      </c>
      <c r="E26" s="28">
        <v>1752.0</v>
      </c>
      <c r="F26" s="61" t="s">
        <v>215</v>
      </c>
      <c r="G26" s="66"/>
      <c r="H26" s="12"/>
      <c r="I26" s="12"/>
      <c r="J26" s="12"/>
      <c r="K26" s="67"/>
      <c r="L26" s="66"/>
      <c r="M26" s="12"/>
      <c r="N26" s="12"/>
      <c r="O26" s="12"/>
      <c r="P26" s="67"/>
      <c r="Q26" s="66"/>
      <c r="R26" s="12"/>
      <c r="S26" s="12"/>
      <c r="T26" s="12"/>
      <c r="U26" s="67"/>
    </row>
    <row r="27">
      <c r="B27" s="36">
        <v>45989.0</v>
      </c>
      <c r="C27" s="21" t="s">
        <v>227</v>
      </c>
      <c r="D27" s="21" t="s">
        <v>15</v>
      </c>
      <c r="E27" s="22">
        <v>39000.0</v>
      </c>
      <c r="F27" s="61" t="s">
        <v>215</v>
      </c>
      <c r="G27" s="66"/>
      <c r="H27" s="12"/>
      <c r="I27" s="12"/>
      <c r="J27" s="12"/>
      <c r="K27" s="67"/>
      <c r="L27" s="66"/>
      <c r="M27" s="12"/>
      <c r="N27" s="12"/>
      <c r="O27" s="12"/>
      <c r="P27" s="67"/>
      <c r="Q27" s="66"/>
      <c r="R27" s="12"/>
      <c r="S27" s="12"/>
      <c r="T27" s="12"/>
      <c r="U27" s="67"/>
    </row>
    <row r="28">
      <c r="B28" s="32">
        <v>45989.0</v>
      </c>
      <c r="C28" s="27" t="s">
        <v>223</v>
      </c>
      <c r="D28" s="27" t="s">
        <v>15</v>
      </c>
      <c r="E28" s="28">
        <v>20025.0</v>
      </c>
      <c r="F28" s="61" t="s">
        <v>215</v>
      </c>
      <c r="G28" s="66"/>
      <c r="H28" s="12"/>
      <c r="I28" s="12"/>
      <c r="J28" s="12"/>
      <c r="K28" s="67"/>
      <c r="L28" s="66"/>
      <c r="M28" s="12"/>
      <c r="N28" s="12"/>
      <c r="O28" s="12"/>
      <c r="P28" s="67"/>
      <c r="Q28" s="66"/>
      <c r="R28" s="12"/>
      <c r="S28" s="12"/>
      <c r="T28" s="12"/>
      <c r="U28" s="67"/>
    </row>
    <row r="29">
      <c r="B29" s="36">
        <v>45991.0</v>
      </c>
      <c r="C29" s="21" t="s">
        <v>223</v>
      </c>
      <c r="D29" s="21" t="s">
        <v>15</v>
      </c>
      <c r="E29" s="22">
        <v>20295.0</v>
      </c>
      <c r="F29" s="61" t="s">
        <v>215</v>
      </c>
      <c r="G29" s="66"/>
      <c r="H29" s="12"/>
      <c r="I29" s="12"/>
      <c r="J29" s="12"/>
      <c r="K29" s="67"/>
      <c r="L29" s="66"/>
      <c r="M29" s="12"/>
      <c r="N29" s="12"/>
      <c r="O29" s="12"/>
      <c r="P29" s="67"/>
      <c r="Q29" s="66"/>
      <c r="R29" s="12"/>
      <c r="S29" s="12"/>
      <c r="T29" s="12"/>
      <c r="U29" s="67"/>
    </row>
    <row r="30">
      <c r="B30" s="32">
        <v>45991.0</v>
      </c>
      <c r="C30" s="27" t="s">
        <v>222</v>
      </c>
      <c r="D30" s="27" t="s">
        <v>15</v>
      </c>
      <c r="E30" s="28">
        <v>31119.0</v>
      </c>
      <c r="F30" s="61" t="s">
        <v>215</v>
      </c>
      <c r="G30" s="66"/>
      <c r="H30" s="12"/>
      <c r="I30" s="12"/>
      <c r="J30" s="12"/>
      <c r="K30" s="67"/>
      <c r="L30" s="66"/>
      <c r="M30" s="12"/>
      <c r="N30" s="12"/>
      <c r="O30" s="12"/>
      <c r="P30" s="67"/>
      <c r="Q30" s="66"/>
      <c r="R30" s="12"/>
      <c r="S30" s="12"/>
      <c r="T30" s="12"/>
      <c r="U30" s="67"/>
    </row>
    <row r="31">
      <c r="B31" s="36">
        <v>45973.0</v>
      </c>
      <c r="C31" s="21" t="s">
        <v>228</v>
      </c>
      <c r="D31" s="21" t="s">
        <v>15</v>
      </c>
      <c r="E31" s="22">
        <v>23000.0</v>
      </c>
      <c r="F31" s="61" t="s">
        <v>215</v>
      </c>
      <c r="G31" s="66"/>
      <c r="H31" s="12"/>
      <c r="I31" s="12"/>
      <c r="J31" s="12"/>
      <c r="K31" s="67"/>
      <c r="L31" s="66"/>
      <c r="M31" s="12"/>
      <c r="N31" s="12"/>
      <c r="O31" s="12"/>
      <c r="P31" s="67"/>
      <c r="Q31" s="66"/>
      <c r="R31" s="12"/>
      <c r="S31" s="12"/>
      <c r="T31" s="12"/>
      <c r="U31" s="67"/>
    </row>
    <row r="32">
      <c r="B32" s="32">
        <v>45966.0</v>
      </c>
      <c r="C32" s="27" t="s">
        <v>229</v>
      </c>
      <c r="D32" s="27" t="s">
        <v>15</v>
      </c>
      <c r="E32" s="28">
        <v>18000.0</v>
      </c>
      <c r="F32" s="61" t="s">
        <v>230</v>
      </c>
      <c r="G32" s="66"/>
      <c r="H32" s="12"/>
      <c r="I32" s="12"/>
      <c r="J32" s="12"/>
      <c r="K32" s="67"/>
      <c r="L32" s="66"/>
      <c r="M32" s="12"/>
      <c r="N32" s="12"/>
      <c r="O32" s="12"/>
      <c r="P32" s="67"/>
      <c r="Q32" s="66"/>
      <c r="R32" s="12"/>
      <c r="S32" s="12"/>
      <c r="T32" s="12"/>
      <c r="U32" s="67"/>
    </row>
    <row r="33">
      <c r="B33" s="36">
        <v>45987.0</v>
      </c>
      <c r="C33" s="21" t="s">
        <v>223</v>
      </c>
      <c r="D33" s="21" t="s">
        <v>15</v>
      </c>
      <c r="E33" s="22">
        <v>26300.0</v>
      </c>
      <c r="F33" s="61" t="s">
        <v>231</v>
      </c>
      <c r="G33" s="66"/>
      <c r="H33" s="12"/>
      <c r="I33" s="12"/>
      <c r="J33" s="12"/>
      <c r="K33" s="67"/>
      <c r="L33" s="66"/>
      <c r="M33" s="12"/>
      <c r="N33" s="12"/>
      <c r="O33" s="12"/>
      <c r="P33" s="67"/>
      <c r="Q33" s="66"/>
      <c r="R33" s="12"/>
      <c r="S33" s="12"/>
      <c r="T33" s="12"/>
      <c r="U33" s="67"/>
    </row>
    <row r="34">
      <c r="B34" s="32">
        <v>45990.0</v>
      </c>
      <c r="C34" s="27" t="s">
        <v>223</v>
      </c>
      <c r="D34" s="27" t="s">
        <v>15</v>
      </c>
      <c r="E34" s="28">
        <v>3000.0</v>
      </c>
      <c r="F34" s="61" t="s">
        <v>231</v>
      </c>
      <c r="G34" s="66"/>
      <c r="H34" s="12"/>
      <c r="I34" s="12"/>
      <c r="J34" s="12"/>
      <c r="K34" s="67"/>
      <c r="L34" s="66"/>
      <c r="M34" s="12"/>
      <c r="N34" s="12"/>
      <c r="O34" s="12"/>
      <c r="P34" s="67"/>
      <c r="Q34" s="66"/>
      <c r="R34" s="12"/>
      <c r="S34" s="12"/>
      <c r="T34" s="12"/>
      <c r="U34" s="67"/>
    </row>
    <row r="35">
      <c r="B35" s="36">
        <v>45990.0</v>
      </c>
      <c r="C35" s="21" t="s">
        <v>223</v>
      </c>
      <c r="D35" s="21" t="s">
        <v>15</v>
      </c>
      <c r="E35" s="22">
        <v>7200.0</v>
      </c>
      <c r="F35" s="61" t="s">
        <v>231</v>
      </c>
      <c r="G35" s="66"/>
      <c r="H35" s="12"/>
      <c r="I35" s="12"/>
      <c r="J35" s="12"/>
      <c r="K35" s="67"/>
      <c r="L35" s="66"/>
      <c r="M35" s="12"/>
      <c r="N35" s="12"/>
      <c r="O35" s="12"/>
      <c r="P35" s="67"/>
      <c r="Q35" s="66"/>
      <c r="R35" s="12"/>
      <c r="S35" s="12"/>
      <c r="T35" s="12"/>
      <c r="U35" s="67"/>
    </row>
    <row r="36">
      <c r="B36" s="32">
        <v>45990.0</v>
      </c>
      <c r="C36" s="27" t="s">
        <v>223</v>
      </c>
      <c r="D36" s="27" t="s">
        <v>15</v>
      </c>
      <c r="E36" s="28">
        <v>30140.0</v>
      </c>
      <c r="F36" s="61" t="s">
        <v>231</v>
      </c>
      <c r="G36" s="66"/>
      <c r="H36" s="12"/>
      <c r="I36" s="12"/>
      <c r="J36" s="12"/>
      <c r="K36" s="67"/>
      <c r="L36" s="66"/>
      <c r="M36" s="12"/>
      <c r="N36" s="12"/>
      <c r="O36" s="12"/>
      <c r="P36" s="67"/>
      <c r="Q36" s="66"/>
      <c r="R36" s="12"/>
      <c r="S36" s="12"/>
      <c r="T36" s="12"/>
      <c r="U36" s="67"/>
    </row>
    <row r="37">
      <c r="B37" s="36">
        <v>45991.0</v>
      </c>
      <c r="C37" s="21" t="s">
        <v>223</v>
      </c>
      <c r="D37" s="21" t="s">
        <v>15</v>
      </c>
      <c r="E37" s="22">
        <v>20295.0</v>
      </c>
      <c r="F37" s="61" t="s">
        <v>231</v>
      </c>
      <c r="G37" s="66"/>
      <c r="H37" s="12"/>
      <c r="I37" s="12"/>
      <c r="J37" s="12"/>
      <c r="K37" s="67"/>
      <c r="L37" s="66"/>
      <c r="M37" s="12"/>
      <c r="N37" s="12"/>
      <c r="O37" s="12"/>
      <c r="P37" s="67"/>
      <c r="Q37" s="66"/>
      <c r="R37" s="12"/>
      <c r="S37" s="12"/>
      <c r="T37" s="12"/>
      <c r="U37" s="67"/>
    </row>
    <row r="38">
      <c r="B38" s="32">
        <v>45991.0</v>
      </c>
      <c r="C38" s="27" t="s">
        <v>223</v>
      </c>
      <c r="D38" s="27" t="s">
        <v>15</v>
      </c>
      <c r="E38" s="28">
        <v>13500.0</v>
      </c>
      <c r="F38" s="61" t="s">
        <v>231</v>
      </c>
      <c r="G38" s="66"/>
      <c r="H38" s="12"/>
      <c r="I38" s="12"/>
      <c r="J38" s="12"/>
      <c r="K38" s="67"/>
      <c r="L38" s="66"/>
      <c r="M38" s="12"/>
      <c r="N38" s="12"/>
      <c r="O38" s="12"/>
      <c r="P38" s="67"/>
      <c r="Q38" s="66"/>
      <c r="R38" s="12"/>
      <c r="S38" s="12"/>
      <c r="T38" s="12"/>
      <c r="U38" s="67"/>
    </row>
    <row r="39">
      <c r="B39" s="36">
        <v>45964.0</v>
      </c>
      <c r="C39" s="21" t="s">
        <v>232</v>
      </c>
      <c r="D39" s="21" t="s">
        <v>15</v>
      </c>
      <c r="E39" s="22">
        <v>10000.0</v>
      </c>
      <c r="F39" s="61" t="s">
        <v>230</v>
      </c>
      <c r="G39" s="66"/>
      <c r="H39" s="12"/>
      <c r="I39" s="12"/>
      <c r="J39" s="12"/>
      <c r="K39" s="67"/>
      <c r="L39" s="66"/>
      <c r="M39" s="12"/>
      <c r="N39" s="12"/>
      <c r="O39" s="12"/>
      <c r="P39" s="67"/>
      <c r="Q39" s="66"/>
      <c r="R39" s="12"/>
      <c r="S39" s="12"/>
      <c r="T39" s="12"/>
      <c r="U39" s="67"/>
    </row>
    <row r="40">
      <c r="B40" s="32">
        <v>45964.0</v>
      </c>
      <c r="C40" s="27" t="s">
        <v>233</v>
      </c>
      <c r="D40" s="27" t="s">
        <v>15</v>
      </c>
      <c r="E40" s="28">
        <v>15000.0</v>
      </c>
      <c r="F40" s="61" t="s">
        <v>230</v>
      </c>
      <c r="G40" s="66"/>
      <c r="H40" s="12"/>
      <c r="I40" s="12"/>
      <c r="J40" s="12"/>
      <c r="K40" s="67"/>
      <c r="L40" s="66"/>
      <c r="M40" s="12"/>
      <c r="N40" s="12"/>
      <c r="O40" s="12"/>
      <c r="P40" s="67"/>
      <c r="Q40" s="66"/>
      <c r="R40" s="12"/>
      <c r="S40" s="12"/>
      <c r="T40" s="12"/>
      <c r="U40" s="67"/>
    </row>
    <row r="41">
      <c r="B41" s="36">
        <v>45964.0</v>
      </c>
      <c r="C41" s="21" t="s">
        <v>234</v>
      </c>
      <c r="D41" s="21" t="s">
        <v>15</v>
      </c>
      <c r="E41" s="22">
        <v>90000.0</v>
      </c>
      <c r="F41" s="61" t="s">
        <v>230</v>
      </c>
      <c r="G41" s="66"/>
      <c r="H41" s="12"/>
      <c r="I41" s="12"/>
      <c r="J41" s="12"/>
      <c r="K41" s="67"/>
      <c r="L41" s="66"/>
      <c r="M41" s="12"/>
      <c r="N41" s="12"/>
      <c r="O41" s="12"/>
      <c r="P41" s="67"/>
      <c r="Q41" s="66"/>
      <c r="R41" s="12"/>
      <c r="S41" s="12"/>
      <c r="T41" s="12"/>
      <c r="U41" s="67"/>
    </row>
    <row r="42">
      <c r="B42" s="32">
        <v>45965.0</v>
      </c>
      <c r="C42" s="27" t="s">
        <v>235</v>
      </c>
      <c r="D42" s="27" t="s">
        <v>15</v>
      </c>
      <c r="E42" s="28">
        <v>27000.0</v>
      </c>
      <c r="F42" s="61" t="s">
        <v>230</v>
      </c>
      <c r="G42" s="66"/>
      <c r="H42" s="12"/>
      <c r="I42" s="12"/>
      <c r="J42" s="12"/>
      <c r="K42" s="67"/>
      <c r="L42" s="66"/>
      <c r="M42" s="12"/>
      <c r="N42" s="12"/>
      <c r="O42" s="12"/>
      <c r="P42" s="67"/>
      <c r="Q42" s="66"/>
      <c r="R42" s="12"/>
      <c r="S42" s="12"/>
      <c r="T42" s="12"/>
      <c r="U42" s="67"/>
    </row>
    <row r="43">
      <c r="B43" s="36">
        <v>45966.0</v>
      </c>
      <c r="C43" s="21" t="s">
        <v>236</v>
      </c>
      <c r="D43" s="21" t="s">
        <v>15</v>
      </c>
      <c r="E43" s="22">
        <v>89638.0</v>
      </c>
      <c r="F43" s="61" t="s">
        <v>230</v>
      </c>
      <c r="G43" s="66"/>
      <c r="H43" s="12"/>
      <c r="I43" s="12"/>
      <c r="J43" s="12"/>
      <c r="K43" s="67"/>
      <c r="L43" s="66"/>
      <c r="M43" s="12"/>
      <c r="N43" s="12"/>
      <c r="O43" s="12"/>
      <c r="P43" s="67"/>
      <c r="Q43" s="66"/>
      <c r="R43" s="12"/>
      <c r="S43" s="12"/>
      <c r="T43" s="12"/>
      <c r="U43" s="67"/>
    </row>
    <row r="44">
      <c r="B44" s="32">
        <v>45966.0</v>
      </c>
      <c r="C44" s="27" t="s">
        <v>237</v>
      </c>
      <c r="D44" s="27" t="s">
        <v>15</v>
      </c>
      <c r="E44" s="28">
        <v>12555.0</v>
      </c>
      <c r="F44" s="61" t="s">
        <v>230</v>
      </c>
      <c r="G44" s="66"/>
      <c r="H44" s="12"/>
      <c r="I44" s="12"/>
      <c r="J44" s="12"/>
      <c r="K44" s="67"/>
      <c r="L44" s="66"/>
      <c r="M44" s="12"/>
      <c r="N44" s="12"/>
      <c r="O44" s="12"/>
      <c r="P44" s="67"/>
      <c r="Q44" s="66"/>
      <c r="R44" s="12"/>
      <c r="S44" s="12"/>
      <c r="T44" s="12"/>
      <c r="U44" s="67"/>
    </row>
    <row r="45">
      <c r="B45" s="36">
        <v>45966.0</v>
      </c>
      <c r="C45" s="21" t="s">
        <v>238</v>
      </c>
      <c r="D45" s="21" t="s">
        <v>15</v>
      </c>
      <c r="E45" s="22">
        <v>2048.0</v>
      </c>
      <c r="F45" s="61" t="s">
        <v>230</v>
      </c>
      <c r="G45" s="66"/>
      <c r="H45" s="12"/>
      <c r="I45" s="12"/>
      <c r="J45" s="12"/>
      <c r="K45" s="67"/>
      <c r="L45" s="66"/>
      <c r="M45" s="12"/>
      <c r="N45" s="12"/>
      <c r="O45" s="12"/>
      <c r="P45" s="67"/>
      <c r="Q45" s="66"/>
      <c r="R45" s="12"/>
      <c r="S45" s="12"/>
      <c r="T45" s="12"/>
      <c r="U45" s="67"/>
    </row>
    <row r="46">
      <c r="B46" s="32">
        <v>45966.0</v>
      </c>
      <c r="C46" s="27" t="s">
        <v>239</v>
      </c>
      <c r="D46" s="27" t="s">
        <v>15</v>
      </c>
      <c r="E46" s="28">
        <v>23057.0</v>
      </c>
      <c r="F46" s="61" t="s">
        <v>230</v>
      </c>
      <c r="G46" s="66"/>
      <c r="H46" s="12"/>
      <c r="I46" s="12"/>
      <c r="J46" s="12"/>
      <c r="K46" s="67"/>
      <c r="L46" s="66"/>
      <c r="M46" s="12"/>
      <c r="N46" s="12"/>
      <c r="O46" s="12"/>
      <c r="P46" s="67"/>
      <c r="Q46" s="66"/>
      <c r="R46" s="12"/>
      <c r="S46" s="12"/>
      <c r="T46" s="12"/>
      <c r="U46" s="67"/>
    </row>
    <row r="47">
      <c r="B47" s="36">
        <v>45968.0</v>
      </c>
      <c r="C47" s="21" t="s">
        <v>240</v>
      </c>
      <c r="D47" s="21" t="s">
        <v>15</v>
      </c>
      <c r="E47" s="22">
        <v>15000.0</v>
      </c>
      <c r="F47" s="61" t="s">
        <v>230</v>
      </c>
      <c r="G47" s="66"/>
      <c r="H47" s="12"/>
      <c r="I47" s="12"/>
      <c r="J47" s="12"/>
      <c r="K47" s="67"/>
      <c r="L47" s="66"/>
      <c r="M47" s="12"/>
      <c r="N47" s="12"/>
      <c r="O47" s="12"/>
      <c r="P47" s="67"/>
      <c r="Q47" s="66"/>
      <c r="R47" s="12"/>
      <c r="S47" s="12"/>
      <c r="T47" s="12"/>
      <c r="U47" s="67"/>
    </row>
    <row r="48">
      <c r="B48" s="32">
        <v>45968.0</v>
      </c>
      <c r="C48" s="27" t="s">
        <v>241</v>
      </c>
      <c r="D48" s="27" t="s">
        <v>15</v>
      </c>
      <c r="E48" s="28">
        <v>15000.0</v>
      </c>
      <c r="F48" s="61" t="s">
        <v>230</v>
      </c>
      <c r="G48" s="66"/>
      <c r="H48" s="12"/>
      <c r="I48" s="12"/>
      <c r="J48" s="12"/>
      <c r="K48" s="67"/>
      <c r="L48" s="66"/>
      <c r="M48" s="12"/>
      <c r="N48" s="12"/>
      <c r="O48" s="12"/>
      <c r="P48" s="67"/>
      <c r="Q48" s="66"/>
      <c r="R48" s="12"/>
      <c r="S48" s="12"/>
      <c r="T48" s="12"/>
      <c r="U48" s="67"/>
    </row>
    <row r="49">
      <c r="B49" s="36">
        <v>45972.0</v>
      </c>
      <c r="C49" s="21" t="s">
        <v>242</v>
      </c>
      <c r="D49" s="21" t="s">
        <v>15</v>
      </c>
      <c r="E49" s="22">
        <v>10000.0</v>
      </c>
      <c r="F49" s="61" t="s">
        <v>230</v>
      </c>
      <c r="G49" s="66"/>
      <c r="H49" s="12"/>
      <c r="I49" s="12"/>
      <c r="J49" s="12"/>
      <c r="K49" s="67"/>
      <c r="L49" s="66"/>
      <c r="M49" s="12"/>
      <c r="N49" s="12"/>
      <c r="O49" s="12"/>
      <c r="P49" s="67"/>
      <c r="Q49" s="66"/>
      <c r="R49" s="12"/>
      <c r="S49" s="12"/>
      <c r="T49" s="12"/>
      <c r="U49" s="67"/>
    </row>
    <row r="50">
      <c r="B50" s="32">
        <v>45977.0</v>
      </c>
      <c r="C50" s="27" t="s">
        <v>243</v>
      </c>
      <c r="D50" s="27" t="s">
        <v>15</v>
      </c>
      <c r="E50" s="28">
        <v>50000.0</v>
      </c>
      <c r="F50" s="61" t="s">
        <v>230</v>
      </c>
      <c r="G50" s="66"/>
      <c r="H50" s="12"/>
      <c r="I50" s="12"/>
      <c r="J50" s="12"/>
      <c r="K50" s="67"/>
      <c r="L50" s="66"/>
      <c r="M50" s="12"/>
      <c r="N50" s="12"/>
      <c r="O50" s="12"/>
      <c r="P50" s="67"/>
      <c r="Q50" s="66"/>
      <c r="R50" s="12"/>
      <c r="S50" s="12"/>
      <c r="T50" s="12"/>
      <c r="U50" s="67"/>
    </row>
    <row r="51">
      <c r="B51" s="36">
        <v>45978.0</v>
      </c>
      <c r="C51" s="21" t="s">
        <v>244</v>
      </c>
      <c r="D51" s="21" t="s">
        <v>15</v>
      </c>
      <c r="E51" s="22">
        <v>20000.0</v>
      </c>
      <c r="F51" s="61" t="s">
        <v>230</v>
      </c>
      <c r="G51" s="66"/>
      <c r="H51" s="12"/>
      <c r="I51" s="12"/>
      <c r="J51" s="12"/>
      <c r="K51" s="67"/>
      <c r="L51" s="66"/>
      <c r="M51" s="12"/>
      <c r="N51" s="12"/>
      <c r="O51" s="12"/>
      <c r="P51" s="67"/>
      <c r="Q51" s="66"/>
      <c r="R51" s="12"/>
      <c r="S51" s="12"/>
      <c r="T51" s="12"/>
      <c r="U51" s="67"/>
    </row>
    <row r="52">
      <c r="B52" s="32">
        <v>45979.0</v>
      </c>
      <c r="C52" s="27" t="s">
        <v>241</v>
      </c>
      <c r="D52" s="27" t="s">
        <v>15</v>
      </c>
      <c r="E52" s="28">
        <v>120000.0</v>
      </c>
      <c r="F52" s="61" t="s">
        <v>230</v>
      </c>
      <c r="G52" s="66"/>
      <c r="H52" s="12"/>
      <c r="I52" s="12"/>
      <c r="J52" s="12"/>
      <c r="K52" s="67"/>
      <c r="L52" s="66"/>
      <c r="M52" s="12"/>
      <c r="N52" s="12"/>
      <c r="O52" s="12"/>
      <c r="P52" s="67"/>
      <c r="Q52" s="66"/>
      <c r="R52" s="12"/>
      <c r="S52" s="12"/>
      <c r="T52" s="12"/>
      <c r="U52" s="67"/>
    </row>
    <row r="53">
      <c r="B53" s="36">
        <v>45985.0</v>
      </c>
      <c r="C53" s="21" t="s">
        <v>236</v>
      </c>
      <c r="D53" s="21" t="s">
        <v>15</v>
      </c>
      <c r="E53" s="22">
        <v>83418.0</v>
      </c>
      <c r="F53" s="61" t="s">
        <v>230</v>
      </c>
      <c r="G53" s="66"/>
      <c r="H53" s="12"/>
      <c r="I53" s="12"/>
      <c r="J53" s="12"/>
      <c r="K53" s="67"/>
      <c r="L53" s="66"/>
      <c r="M53" s="12"/>
      <c r="N53" s="12"/>
      <c r="O53" s="12"/>
      <c r="P53" s="67"/>
      <c r="Q53" s="66"/>
      <c r="R53" s="12"/>
      <c r="S53" s="12"/>
      <c r="T53" s="12"/>
      <c r="U53" s="67"/>
    </row>
    <row r="54">
      <c r="B54" s="32">
        <v>45985.0</v>
      </c>
      <c r="C54" s="27" t="s">
        <v>237</v>
      </c>
      <c r="D54" s="27" t="s">
        <v>15</v>
      </c>
      <c r="E54" s="28">
        <v>13127.0</v>
      </c>
      <c r="F54" s="61" t="s">
        <v>230</v>
      </c>
      <c r="G54" s="66"/>
      <c r="H54" s="12"/>
      <c r="I54" s="12"/>
      <c r="J54" s="12"/>
      <c r="K54" s="67"/>
      <c r="L54" s="66"/>
      <c r="M54" s="12"/>
      <c r="N54" s="12"/>
      <c r="O54" s="12"/>
      <c r="P54" s="67"/>
      <c r="Q54" s="66"/>
      <c r="R54" s="12"/>
      <c r="S54" s="12"/>
      <c r="T54" s="12"/>
      <c r="U54" s="67"/>
    </row>
    <row r="55">
      <c r="B55" s="36">
        <v>45985.0</v>
      </c>
      <c r="C55" s="21" t="s">
        <v>245</v>
      </c>
      <c r="D55" s="21" t="s">
        <v>15</v>
      </c>
      <c r="E55" s="22">
        <v>60000.0</v>
      </c>
      <c r="F55" s="61" t="s">
        <v>230</v>
      </c>
      <c r="G55" s="66"/>
      <c r="H55" s="12"/>
      <c r="I55" s="12"/>
      <c r="J55" s="12"/>
      <c r="K55" s="67"/>
      <c r="L55" s="66"/>
      <c r="M55" s="12"/>
      <c r="N55" s="12"/>
      <c r="O55" s="12"/>
      <c r="P55" s="67"/>
      <c r="Q55" s="66"/>
      <c r="R55" s="12"/>
      <c r="S55" s="12"/>
      <c r="T55" s="12"/>
      <c r="U55" s="67"/>
    </row>
    <row r="56">
      <c r="B56" s="32">
        <v>45988.0</v>
      </c>
      <c r="C56" s="27" t="s">
        <v>245</v>
      </c>
      <c r="D56" s="27" t="s">
        <v>15</v>
      </c>
      <c r="E56" s="28">
        <v>60000.0</v>
      </c>
      <c r="F56" s="61" t="s">
        <v>230</v>
      </c>
      <c r="G56" s="66"/>
      <c r="H56" s="12"/>
      <c r="I56" s="12"/>
      <c r="J56" s="12"/>
      <c r="K56" s="67"/>
      <c r="L56" s="66"/>
      <c r="M56" s="12"/>
      <c r="N56" s="12"/>
      <c r="O56" s="12"/>
      <c r="P56" s="67"/>
      <c r="Q56" s="66"/>
      <c r="R56" s="12"/>
      <c r="S56" s="12"/>
      <c r="T56" s="12"/>
      <c r="U56" s="67"/>
    </row>
    <row r="57">
      <c r="B57" s="37" t="s">
        <v>48</v>
      </c>
      <c r="C57" s="2"/>
      <c r="D57" s="2"/>
      <c r="E57" s="38">
        <f>SUM(E5:E56)</f>
        <v>1873537</v>
      </c>
      <c r="G57" s="68"/>
      <c r="H57" s="69"/>
      <c r="I57" s="69"/>
      <c r="J57" s="68"/>
      <c r="K57" s="70"/>
      <c r="L57" s="71"/>
      <c r="M57" s="12"/>
      <c r="N57" s="12"/>
      <c r="O57" s="72"/>
      <c r="P57" s="70"/>
      <c r="Q57" s="71"/>
      <c r="R57" s="12"/>
      <c r="S57" s="12"/>
      <c r="T57" s="72"/>
      <c r="U57" s="70"/>
    </row>
    <row r="58">
      <c r="B58" s="48"/>
      <c r="G58" s="72"/>
      <c r="U58" s="76"/>
    </row>
    <row r="61">
      <c r="T61" s="50" t="s">
        <v>1</v>
      </c>
      <c r="U61" s="51">
        <f>SUM(U58)</f>
        <v>0</v>
      </c>
    </row>
    <row r="62">
      <c r="T62" s="52" t="s">
        <v>0</v>
      </c>
      <c r="U62" s="53">
        <f>E57</f>
        <v>1873537</v>
      </c>
    </row>
    <row r="63">
      <c r="T63" s="54" t="s">
        <v>50</v>
      </c>
      <c r="U63" s="49">
        <f>SUM(U61-U62)</f>
        <v>-1873537</v>
      </c>
    </row>
  </sheetData>
  <mergeCells count="9">
    <mergeCell ref="B58:E58"/>
    <mergeCell ref="G58:T58"/>
    <mergeCell ref="B2:E2"/>
    <mergeCell ref="G2:U2"/>
    <mergeCell ref="B3:E3"/>
    <mergeCell ref="G3:K3"/>
    <mergeCell ref="L3:P3"/>
    <mergeCell ref="Q3:U3"/>
    <mergeCell ref="B57:D5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5.75"/>
    <col customWidth="1" min="3" max="3" width="35.5"/>
    <col customWidth="1" min="4" max="4" width="14.5"/>
    <col customWidth="1" min="5" max="5" width="11.25"/>
    <col customWidth="1" min="6" max="6" width="3.75"/>
    <col customWidth="1" min="7" max="7" width="15.0"/>
    <col customWidth="1" min="8" max="8" width="16.88"/>
    <col customWidth="1" min="9" max="9" width="20.0"/>
    <col customWidth="1" min="10" max="10" width="17.63"/>
    <col customWidth="1" min="13" max="13" width="18.25"/>
    <col customWidth="1" min="14" max="14" width="21.13"/>
    <col customWidth="1" min="15" max="15" width="17.88"/>
    <col customWidth="1" min="18" max="18" width="14.5"/>
    <col customWidth="1" min="19" max="19" width="17.63"/>
    <col customWidth="1" min="20" max="20" width="18.13"/>
  </cols>
  <sheetData>
    <row r="2">
      <c r="B2" s="1" t="s">
        <v>0</v>
      </c>
      <c r="C2" s="2"/>
      <c r="D2" s="2"/>
      <c r="E2" s="3"/>
      <c r="G2" s="58"/>
    </row>
    <row r="3">
      <c r="B3" s="4" t="s">
        <v>2</v>
      </c>
      <c r="C3" s="5"/>
      <c r="D3" s="5"/>
      <c r="E3" s="6"/>
      <c r="G3" s="59"/>
      <c r="L3" s="58"/>
      <c r="Q3" s="58"/>
    </row>
    <row r="4">
      <c r="B4" s="9" t="s">
        <v>5</v>
      </c>
      <c r="C4" s="10" t="s">
        <v>6</v>
      </c>
      <c r="D4" s="10" t="s">
        <v>7</v>
      </c>
      <c r="E4" s="11" t="s">
        <v>8</v>
      </c>
      <c r="F4" s="12"/>
      <c r="G4" s="60"/>
      <c r="H4" s="61"/>
      <c r="I4" s="60"/>
      <c r="J4" s="61"/>
      <c r="K4" s="62"/>
      <c r="L4" s="63"/>
      <c r="M4" s="63"/>
      <c r="N4" s="63"/>
      <c r="O4" s="63"/>
      <c r="P4" s="58"/>
      <c r="Q4" s="63"/>
      <c r="R4" s="63"/>
      <c r="S4" s="63"/>
      <c r="T4" s="63"/>
      <c r="U4" s="58"/>
    </row>
    <row r="5">
      <c r="B5" s="20">
        <v>45994.0</v>
      </c>
      <c r="C5" s="21" t="s">
        <v>246</v>
      </c>
      <c r="D5" s="21" t="s">
        <v>15</v>
      </c>
      <c r="E5" s="22">
        <v>10030.0</v>
      </c>
      <c r="F5" s="12"/>
      <c r="G5" s="64"/>
      <c r="H5" s="61"/>
      <c r="I5" s="61"/>
      <c r="J5" s="61"/>
      <c r="K5" s="65"/>
      <c r="L5" s="64"/>
      <c r="M5" s="61"/>
      <c r="N5" s="61"/>
      <c r="O5" s="61"/>
      <c r="P5" s="65"/>
      <c r="Q5" s="66"/>
      <c r="R5" s="12"/>
      <c r="S5" s="12"/>
      <c r="T5" s="12"/>
      <c r="U5" s="67"/>
    </row>
    <row r="6">
      <c r="B6" s="26">
        <v>45994.0</v>
      </c>
      <c r="C6" s="27" t="s">
        <v>136</v>
      </c>
      <c r="D6" s="27" t="s">
        <v>15</v>
      </c>
      <c r="E6" s="28">
        <v>24120.0</v>
      </c>
      <c r="F6" s="12"/>
      <c r="G6" s="64"/>
      <c r="H6" s="61"/>
      <c r="I6" s="61"/>
      <c r="J6" s="61"/>
      <c r="K6" s="65"/>
      <c r="L6" s="64"/>
      <c r="M6" s="61"/>
      <c r="N6" s="61"/>
      <c r="O6" s="61"/>
      <c r="P6" s="65"/>
      <c r="Q6" s="66"/>
      <c r="R6" s="12"/>
      <c r="S6" s="12"/>
      <c r="T6" s="12"/>
      <c r="U6" s="67"/>
    </row>
    <row r="7">
      <c r="B7" s="20">
        <v>45997.0</v>
      </c>
      <c r="C7" s="21" t="s">
        <v>247</v>
      </c>
      <c r="D7" s="21" t="s">
        <v>15</v>
      </c>
      <c r="E7" s="22">
        <v>62104.0</v>
      </c>
      <c r="F7" s="12"/>
      <c r="G7" s="64"/>
      <c r="H7" s="61"/>
      <c r="I7" s="61"/>
      <c r="J7" s="61"/>
      <c r="K7" s="65"/>
      <c r="L7" s="64"/>
      <c r="M7" s="61"/>
      <c r="N7" s="61"/>
      <c r="O7" s="61"/>
      <c r="P7" s="65"/>
      <c r="Q7" s="66"/>
      <c r="R7" s="12"/>
      <c r="S7" s="12"/>
      <c r="T7" s="12"/>
      <c r="U7" s="67"/>
    </row>
    <row r="8">
      <c r="B8" s="26">
        <v>45997.0</v>
      </c>
      <c r="C8" s="27" t="s">
        <v>136</v>
      </c>
      <c r="D8" s="27" t="s">
        <v>15</v>
      </c>
      <c r="E8" s="28">
        <v>95445.0</v>
      </c>
      <c r="F8" s="12"/>
      <c r="G8" s="64"/>
      <c r="H8" s="61"/>
      <c r="I8" s="61"/>
      <c r="J8" s="61"/>
      <c r="K8" s="65"/>
      <c r="L8" s="64"/>
      <c r="M8" s="61"/>
      <c r="N8" s="61"/>
      <c r="O8" s="61"/>
      <c r="P8" s="65"/>
      <c r="Q8" s="66"/>
      <c r="R8" s="12"/>
      <c r="S8" s="12"/>
      <c r="T8" s="12"/>
      <c r="U8" s="67"/>
    </row>
    <row r="9">
      <c r="B9" s="20">
        <v>45997.0</v>
      </c>
      <c r="C9" s="21" t="s">
        <v>248</v>
      </c>
      <c r="D9" s="21" t="s">
        <v>15</v>
      </c>
      <c r="E9" s="22">
        <v>48360.0</v>
      </c>
      <c r="F9" s="12"/>
      <c r="G9" s="64"/>
      <c r="H9" s="61"/>
      <c r="I9" s="61"/>
      <c r="J9" s="61"/>
      <c r="K9" s="65"/>
      <c r="L9" s="64"/>
      <c r="M9" s="61"/>
      <c r="N9" s="61"/>
      <c r="O9" s="61"/>
      <c r="P9" s="65"/>
      <c r="Q9" s="66"/>
      <c r="R9" s="12"/>
      <c r="S9" s="12"/>
      <c r="T9" s="12"/>
      <c r="U9" s="67"/>
    </row>
    <row r="10">
      <c r="B10" s="26">
        <v>45999.0</v>
      </c>
      <c r="C10" s="27" t="s">
        <v>249</v>
      </c>
      <c r="D10" s="27" t="s">
        <v>15</v>
      </c>
      <c r="E10" s="28">
        <v>8675.0</v>
      </c>
      <c r="F10" s="12"/>
      <c r="G10" s="64"/>
      <c r="H10" s="61"/>
      <c r="I10" s="61"/>
      <c r="J10" s="61"/>
      <c r="K10" s="65"/>
      <c r="L10" s="64"/>
      <c r="M10" s="61"/>
      <c r="N10" s="61"/>
      <c r="O10" s="61"/>
      <c r="P10" s="65"/>
      <c r="Q10" s="66"/>
      <c r="R10" s="12"/>
      <c r="S10" s="12"/>
      <c r="T10" s="12"/>
      <c r="U10" s="67"/>
    </row>
    <row r="11">
      <c r="B11" s="20">
        <v>46000.0</v>
      </c>
      <c r="C11" s="21" t="s">
        <v>246</v>
      </c>
      <c r="D11" s="21" t="s">
        <v>15</v>
      </c>
      <c r="E11" s="22">
        <v>32305.0</v>
      </c>
      <c r="F11" s="12"/>
      <c r="G11" s="64"/>
      <c r="H11" s="61"/>
      <c r="I11" s="61"/>
      <c r="J11" s="61"/>
      <c r="K11" s="65"/>
      <c r="L11" s="64"/>
      <c r="M11" s="61"/>
      <c r="N11" s="61"/>
      <c r="O11" s="61"/>
      <c r="P11" s="65"/>
      <c r="Q11" s="66"/>
      <c r="R11" s="12"/>
      <c r="S11" s="12"/>
      <c r="T11" s="12"/>
      <c r="U11" s="67"/>
    </row>
    <row r="12">
      <c r="B12" s="26">
        <v>46003.0</v>
      </c>
      <c r="C12" s="27" t="s">
        <v>222</v>
      </c>
      <c r="D12" s="27" t="s">
        <v>15</v>
      </c>
      <c r="E12" s="28">
        <v>27486.0</v>
      </c>
      <c r="F12" s="12"/>
      <c r="G12" s="64"/>
      <c r="H12" s="12"/>
      <c r="I12" s="61"/>
      <c r="J12" s="61"/>
      <c r="K12" s="12"/>
      <c r="L12" s="64"/>
      <c r="M12" s="61"/>
      <c r="N12" s="61"/>
      <c r="O12" s="61"/>
      <c r="P12" s="65"/>
      <c r="Q12" s="66"/>
      <c r="R12" s="12"/>
      <c r="S12" s="12"/>
      <c r="T12" s="12"/>
      <c r="U12" s="67"/>
    </row>
    <row r="13">
      <c r="B13" s="20">
        <v>46004.0</v>
      </c>
      <c r="C13" s="21" t="s">
        <v>250</v>
      </c>
      <c r="D13" s="21" t="s">
        <v>15</v>
      </c>
      <c r="E13" s="22">
        <v>55800.0</v>
      </c>
      <c r="F13" s="12"/>
      <c r="G13" s="64"/>
      <c r="H13" s="12"/>
      <c r="I13" s="61"/>
      <c r="J13" s="61"/>
      <c r="K13" s="12"/>
      <c r="L13" s="64"/>
      <c r="M13" s="12"/>
      <c r="N13" s="61"/>
      <c r="O13" s="61"/>
      <c r="P13" s="12"/>
      <c r="Q13" s="66"/>
      <c r="R13" s="12"/>
      <c r="S13" s="12"/>
      <c r="T13" s="12"/>
      <c r="U13" s="67"/>
    </row>
    <row r="14">
      <c r="B14" s="26">
        <v>46005.0</v>
      </c>
      <c r="C14" s="27" t="s">
        <v>251</v>
      </c>
      <c r="D14" s="27" t="s">
        <v>15</v>
      </c>
      <c r="E14" s="28">
        <v>37475.0</v>
      </c>
      <c r="G14" s="64"/>
      <c r="H14" s="12"/>
      <c r="I14" s="61"/>
      <c r="J14" s="61"/>
      <c r="K14" s="67"/>
      <c r="L14" s="64"/>
      <c r="M14" s="12"/>
      <c r="N14" s="61"/>
      <c r="O14" s="61"/>
      <c r="P14" s="67"/>
      <c r="Q14" s="66"/>
      <c r="R14" s="12"/>
      <c r="S14" s="12"/>
      <c r="T14" s="12"/>
      <c r="U14" s="67"/>
    </row>
    <row r="15">
      <c r="B15" s="20">
        <v>46007.0</v>
      </c>
      <c r="C15" s="21" t="s">
        <v>252</v>
      </c>
      <c r="D15" s="21" t="s">
        <v>15</v>
      </c>
      <c r="E15" s="22">
        <v>60000.0</v>
      </c>
      <c r="G15" s="64"/>
      <c r="H15" s="12"/>
      <c r="I15" s="61"/>
      <c r="J15" s="61"/>
      <c r="K15" s="67"/>
      <c r="L15" s="64"/>
      <c r="M15" s="12"/>
      <c r="N15" s="61"/>
      <c r="O15" s="61"/>
      <c r="P15" s="67"/>
      <c r="Q15" s="66"/>
      <c r="R15" s="12"/>
      <c r="S15" s="12"/>
      <c r="T15" s="12"/>
      <c r="U15" s="67"/>
    </row>
    <row r="16">
      <c r="B16" s="26">
        <v>46008.0</v>
      </c>
      <c r="C16" s="27" t="s">
        <v>253</v>
      </c>
      <c r="D16" s="27" t="s">
        <v>15</v>
      </c>
      <c r="E16" s="28">
        <v>35980.0</v>
      </c>
      <c r="G16" s="64"/>
      <c r="H16" s="12"/>
      <c r="I16" s="61"/>
      <c r="J16" s="61"/>
      <c r="K16" s="67"/>
      <c r="L16" s="64"/>
      <c r="M16" s="12"/>
      <c r="N16" s="61"/>
      <c r="O16" s="61"/>
      <c r="P16" s="67"/>
      <c r="Q16" s="66"/>
      <c r="R16" s="12"/>
      <c r="S16" s="12"/>
      <c r="T16" s="12"/>
      <c r="U16" s="67"/>
    </row>
    <row r="17">
      <c r="B17" s="20">
        <v>46008.0</v>
      </c>
      <c r="C17" s="21" t="s">
        <v>254</v>
      </c>
      <c r="D17" s="21" t="s">
        <v>15</v>
      </c>
      <c r="E17" s="22">
        <v>22530.0</v>
      </c>
      <c r="G17" s="64"/>
      <c r="H17" s="12"/>
      <c r="I17" s="61"/>
      <c r="J17" s="61"/>
      <c r="K17" s="67"/>
      <c r="L17" s="64"/>
      <c r="M17" s="12"/>
      <c r="N17" s="61"/>
      <c r="O17" s="61"/>
      <c r="P17" s="67"/>
      <c r="Q17" s="66"/>
      <c r="R17" s="12"/>
      <c r="S17" s="12"/>
      <c r="T17" s="12"/>
      <c r="U17" s="67"/>
    </row>
    <row r="18">
      <c r="B18" s="26">
        <v>46008.0</v>
      </c>
      <c r="C18" s="27" t="s">
        <v>222</v>
      </c>
      <c r="D18" s="27" t="s">
        <v>15</v>
      </c>
      <c r="E18" s="28">
        <v>27999.0</v>
      </c>
      <c r="G18" s="64"/>
      <c r="H18" s="12"/>
      <c r="I18" s="61"/>
      <c r="J18" s="61"/>
      <c r="K18" s="67"/>
      <c r="L18" s="64"/>
      <c r="M18" s="12"/>
      <c r="N18" s="61"/>
      <c r="O18" s="61"/>
      <c r="P18" s="67"/>
      <c r="Q18" s="66"/>
      <c r="R18" s="12"/>
      <c r="S18" s="12"/>
      <c r="T18" s="12"/>
      <c r="U18" s="67"/>
    </row>
    <row r="19">
      <c r="B19" s="20">
        <v>46009.0</v>
      </c>
      <c r="C19" s="21" t="s">
        <v>255</v>
      </c>
      <c r="D19" s="21" t="s">
        <v>15</v>
      </c>
      <c r="E19" s="22">
        <v>7140.0</v>
      </c>
      <c r="G19" s="64"/>
      <c r="H19" s="12"/>
      <c r="I19" s="61"/>
      <c r="J19" s="12"/>
      <c r="K19" s="67"/>
      <c r="L19" s="64"/>
      <c r="M19" s="12"/>
      <c r="N19" s="61"/>
      <c r="P19" s="67"/>
      <c r="Q19" s="66"/>
      <c r="R19" s="12"/>
      <c r="S19" s="12"/>
      <c r="T19" s="12"/>
      <c r="U19" s="67"/>
    </row>
    <row r="20">
      <c r="B20" s="26">
        <v>46013.0</v>
      </c>
      <c r="C20" s="27" t="s">
        <v>256</v>
      </c>
      <c r="D20" s="27" t="s">
        <v>15</v>
      </c>
      <c r="E20" s="28">
        <v>9000.0</v>
      </c>
      <c r="G20" s="66"/>
      <c r="H20" s="12"/>
      <c r="I20" s="12"/>
      <c r="J20" s="12"/>
      <c r="K20" s="67"/>
      <c r="L20" s="66"/>
      <c r="M20" s="12"/>
      <c r="N20" s="61"/>
      <c r="O20" s="12"/>
      <c r="P20" s="67"/>
      <c r="Q20" s="66"/>
      <c r="R20" s="12"/>
      <c r="S20" s="12"/>
      <c r="T20" s="12"/>
      <c r="U20" s="67"/>
    </row>
    <row r="21">
      <c r="B21" s="36">
        <v>46013.0</v>
      </c>
      <c r="C21" s="21" t="s">
        <v>246</v>
      </c>
      <c r="D21" s="21" t="s">
        <v>15</v>
      </c>
      <c r="E21" s="22">
        <v>13400.0</v>
      </c>
      <c r="G21" s="66"/>
      <c r="H21" s="12"/>
      <c r="I21" s="12"/>
      <c r="J21" s="12"/>
      <c r="K21" s="67"/>
      <c r="L21" s="66"/>
      <c r="M21" s="12"/>
      <c r="N21" s="12"/>
      <c r="O21" s="12"/>
      <c r="P21" s="67"/>
      <c r="Q21" s="66"/>
      <c r="R21" s="12"/>
      <c r="S21" s="12"/>
      <c r="T21" s="12"/>
      <c r="U21" s="67"/>
    </row>
    <row r="22">
      <c r="B22" s="32">
        <v>46013.0</v>
      </c>
      <c r="C22" s="27" t="s">
        <v>246</v>
      </c>
      <c r="D22" s="27" t="s">
        <v>15</v>
      </c>
      <c r="E22" s="28">
        <v>23485.0</v>
      </c>
      <c r="G22" s="66"/>
      <c r="H22" s="12"/>
      <c r="I22" s="12"/>
      <c r="J22" s="12"/>
      <c r="K22" s="67"/>
      <c r="L22" s="66"/>
      <c r="M22" s="12"/>
      <c r="N22" s="12"/>
      <c r="O22" s="12"/>
      <c r="P22" s="67"/>
      <c r="Q22" s="66"/>
      <c r="R22" s="12"/>
      <c r="S22" s="12"/>
      <c r="T22" s="12"/>
      <c r="U22" s="67"/>
    </row>
    <row r="23">
      <c r="B23" s="36">
        <v>46015.0</v>
      </c>
      <c r="C23" s="21" t="s">
        <v>250</v>
      </c>
      <c r="D23" s="21" t="s">
        <v>15</v>
      </c>
      <c r="E23" s="22">
        <v>5400.0</v>
      </c>
      <c r="G23" s="66"/>
      <c r="H23" s="12"/>
      <c r="I23" s="12"/>
      <c r="J23" s="12"/>
      <c r="K23" s="67"/>
      <c r="L23" s="66"/>
      <c r="M23" s="12"/>
      <c r="N23" s="12"/>
      <c r="O23" s="12"/>
      <c r="P23" s="67"/>
      <c r="Q23" s="66"/>
      <c r="R23" s="12"/>
      <c r="S23" s="12"/>
      <c r="T23" s="12"/>
      <c r="U23" s="67"/>
    </row>
    <row r="24">
      <c r="B24" s="32">
        <v>46015.0</v>
      </c>
      <c r="C24" s="27" t="s">
        <v>163</v>
      </c>
      <c r="D24" s="27" t="s">
        <v>15</v>
      </c>
      <c r="E24" s="28">
        <v>11605.0</v>
      </c>
      <c r="G24" s="66"/>
      <c r="H24" s="12"/>
      <c r="I24" s="12"/>
      <c r="J24" s="12"/>
      <c r="K24" s="67"/>
      <c r="L24" s="66"/>
      <c r="M24" s="12"/>
      <c r="N24" s="12"/>
      <c r="O24" s="12"/>
      <c r="P24" s="67"/>
      <c r="Q24" s="66"/>
      <c r="R24" s="12"/>
      <c r="S24" s="12"/>
      <c r="T24" s="12"/>
      <c r="U24" s="67"/>
    </row>
    <row r="25">
      <c r="B25" s="36">
        <v>46015.0</v>
      </c>
      <c r="C25" s="21" t="s">
        <v>246</v>
      </c>
      <c r="D25" s="21" t="s">
        <v>15</v>
      </c>
      <c r="E25" s="22">
        <v>60359.0</v>
      </c>
      <c r="G25" s="66"/>
      <c r="H25" s="77"/>
      <c r="I25" s="12"/>
      <c r="J25" s="12"/>
      <c r="K25" s="67"/>
      <c r="L25" s="66"/>
      <c r="M25" s="12"/>
      <c r="N25" s="12"/>
      <c r="O25" s="12"/>
      <c r="P25" s="67"/>
      <c r="Q25" s="66"/>
      <c r="R25" s="12"/>
      <c r="S25" s="12"/>
      <c r="T25" s="12"/>
      <c r="U25" s="67"/>
    </row>
    <row r="26">
      <c r="B26" s="32">
        <v>46017.0</v>
      </c>
      <c r="C26" s="27" t="s">
        <v>163</v>
      </c>
      <c r="D26" s="27" t="s">
        <v>15</v>
      </c>
      <c r="E26" s="28">
        <v>7191.0</v>
      </c>
      <c r="G26" s="66"/>
      <c r="H26" s="12"/>
      <c r="I26" s="12"/>
      <c r="J26" s="12"/>
      <c r="K26" s="67"/>
      <c r="L26" s="66"/>
      <c r="M26" s="12"/>
      <c r="N26" s="12"/>
      <c r="O26" s="12"/>
      <c r="P26" s="67"/>
      <c r="Q26" s="66"/>
      <c r="R26" s="12"/>
      <c r="S26" s="12"/>
      <c r="T26" s="12"/>
      <c r="U26" s="67"/>
    </row>
    <row r="27">
      <c r="B27" s="36">
        <v>46019.0</v>
      </c>
      <c r="C27" s="21" t="s">
        <v>163</v>
      </c>
      <c r="D27" s="21" t="s">
        <v>15</v>
      </c>
      <c r="E27" s="22">
        <v>12124.0</v>
      </c>
      <c r="G27" s="66"/>
      <c r="H27" s="12"/>
      <c r="I27" s="12"/>
      <c r="J27" s="12"/>
      <c r="K27" s="67"/>
      <c r="L27" s="66"/>
      <c r="M27" s="12"/>
      <c r="N27" s="12"/>
      <c r="O27" s="12"/>
      <c r="P27" s="67"/>
      <c r="Q27" s="66"/>
      <c r="R27" s="12"/>
      <c r="S27" s="12"/>
      <c r="T27" s="12"/>
      <c r="U27" s="67"/>
    </row>
    <row r="28">
      <c r="B28" s="32">
        <v>46019.0</v>
      </c>
      <c r="C28" s="27" t="s">
        <v>257</v>
      </c>
      <c r="D28" s="27" t="s">
        <v>15</v>
      </c>
      <c r="E28" s="28">
        <v>28100.0</v>
      </c>
      <c r="G28" s="66"/>
      <c r="H28" s="12"/>
      <c r="I28" s="12"/>
      <c r="J28" s="12"/>
      <c r="K28" s="67"/>
      <c r="L28" s="66"/>
      <c r="M28" s="12"/>
      <c r="N28" s="12"/>
      <c r="O28" s="12"/>
      <c r="P28" s="67"/>
      <c r="Q28" s="66"/>
      <c r="R28" s="12"/>
      <c r="S28" s="12"/>
      <c r="T28" s="12"/>
      <c r="U28" s="67"/>
    </row>
    <row r="29">
      <c r="B29" s="36">
        <v>46021.0</v>
      </c>
      <c r="C29" s="21" t="s">
        <v>258</v>
      </c>
      <c r="D29" s="21" t="s">
        <v>15</v>
      </c>
      <c r="E29" s="22">
        <v>114499.0</v>
      </c>
      <c r="G29" s="66"/>
      <c r="H29" s="12"/>
      <c r="I29" s="12"/>
      <c r="J29" s="12"/>
      <c r="K29" s="67"/>
      <c r="L29" s="66"/>
      <c r="M29" s="12"/>
      <c r="N29" s="12"/>
      <c r="O29" s="12"/>
      <c r="P29" s="67"/>
      <c r="Q29" s="66"/>
      <c r="R29" s="12"/>
      <c r="S29" s="12"/>
      <c r="T29" s="12"/>
      <c r="U29" s="67"/>
    </row>
    <row r="30">
      <c r="B30" s="32">
        <v>46021.0</v>
      </c>
      <c r="C30" s="27" t="s">
        <v>136</v>
      </c>
      <c r="D30" s="27" t="s">
        <v>15</v>
      </c>
      <c r="E30" s="28">
        <v>678994.0</v>
      </c>
      <c r="G30" s="66"/>
      <c r="H30" s="12"/>
      <c r="I30" s="12"/>
      <c r="J30" s="12"/>
      <c r="K30" s="67"/>
      <c r="L30" s="66"/>
      <c r="M30" s="12"/>
      <c r="N30" s="12"/>
      <c r="O30" s="12"/>
      <c r="P30" s="67"/>
      <c r="Q30" s="66"/>
      <c r="R30" s="12"/>
      <c r="S30" s="12"/>
      <c r="T30" s="12"/>
      <c r="U30" s="67"/>
    </row>
    <row r="31">
      <c r="B31" s="36">
        <v>46022.0</v>
      </c>
      <c r="C31" s="21" t="s">
        <v>259</v>
      </c>
      <c r="D31" s="21" t="s">
        <v>15</v>
      </c>
      <c r="E31" s="22">
        <v>247100.0</v>
      </c>
      <c r="G31" s="66"/>
      <c r="H31" s="12"/>
      <c r="I31" s="12"/>
      <c r="J31" s="12"/>
      <c r="K31" s="67"/>
      <c r="L31" s="66"/>
      <c r="M31" s="12"/>
      <c r="N31" s="12"/>
      <c r="O31" s="12"/>
      <c r="P31" s="67"/>
      <c r="Q31" s="66"/>
      <c r="R31" s="12"/>
      <c r="S31" s="12"/>
      <c r="T31" s="12"/>
      <c r="U31" s="67"/>
    </row>
    <row r="32">
      <c r="B32" s="32">
        <v>45993.0</v>
      </c>
      <c r="C32" s="27" t="s">
        <v>260</v>
      </c>
      <c r="D32" s="27" t="s">
        <v>15</v>
      </c>
      <c r="E32" s="28">
        <v>37579.0</v>
      </c>
      <c r="G32" s="66"/>
      <c r="H32" s="12"/>
      <c r="I32" s="12"/>
      <c r="J32" s="12"/>
      <c r="K32" s="67"/>
      <c r="L32" s="66"/>
      <c r="M32" s="12"/>
      <c r="N32" s="12"/>
      <c r="O32" s="12"/>
      <c r="P32" s="67"/>
      <c r="Q32" s="66"/>
      <c r="R32" s="12"/>
      <c r="S32" s="12"/>
      <c r="T32" s="12"/>
      <c r="U32" s="67"/>
    </row>
    <row r="33">
      <c r="B33" s="36">
        <v>45995.0</v>
      </c>
      <c r="C33" s="21" t="s">
        <v>261</v>
      </c>
      <c r="D33" s="21" t="s">
        <v>15</v>
      </c>
      <c r="E33" s="22">
        <v>75000.0</v>
      </c>
      <c r="G33" s="66"/>
      <c r="H33" s="12"/>
      <c r="I33" s="12"/>
      <c r="J33" s="12"/>
      <c r="K33" s="67"/>
      <c r="L33" s="66"/>
      <c r="M33" s="12"/>
      <c r="N33" s="12"/>
      <c r="O33" s="12"/>
      <c r="P33" s="67"/>
      <c r="Q33" s="66"/>
      <c r="R33" s="12"/>
      <c r="S33" s="12"/>
      <c r="T33" s="12"/>
      <c r="U33" s="67"/>
    </row>
    <row r="34">
      <c r="B34" s="26">
        <v>45995.0</v>
      </c>
      <c r="C34" s="27" t="s">
        <v>262</v>
      </c>
      <c r="D34" s="27" t="s">
        <v>15</v>
      </c>
      <c r="E34" s="28">
        <v>37111.0</v>
      </c>
      <c r="G34" s="66"/>
      <c r="H34" s="12"/>
      <c r="I34" s="12"/>
      <c r="J34" s="12"/>
      <c r="K34" s="67"/>
      <c r="L34" s="66"/>
      <c r="M34" s="12"/>
      <c r="N34" s="12"/>
      <c r="O34" s="12"/>
      <c r="P34" s="67"/>
      <c r="Q34" s="66"/>
      <c r="R34" s="12"/>
      <c r="S34" s="12"/>
      <c r="T34" s="12"/>
      <c r="U34" s="67"/>
    </row>
    <row r="35">
      <c r="B35" s="36">
        <v>45995.0</v>
      </c>
      <c r="C35" s="21" t="s">
        <v>263</v>
      </c>
      <c r="D35" s="21" t="s">
        <v>15</v>
      </c>
      <c r="E35" s="22">
        <v>89934.0</v>
      </c>
      <c r="G35" s="66"/>
      <c r="H35" s="12"/>
      <c r="I35" s="12"/>
      <c r="J35" s="12"/>
      <c r="K35" s="67"/>
      <c r="L35" s="66"/>
      <c r="M35" s="12"/>
      <c r="N35" s="12"/>
      <c r="O35" s="12"/>
      <c r="P35" s="67"/>
      <c r="Q35" s="66"/>
      <c r="R35" s="12"/>
      <c r="S35" s="12"/>
      <c r="T35" s="12"/>
      <c r="U35" s="67"/>
    </row>
    <row r="36">
      <c r="B36" s="26">
        <v>45995.0</v>
      </c>
      <c r="C36" s="27" t="s">
        <v>264</v>
      </c>
      <c r="D36" s="27" t="s">
        <v>15</v>
      </c>
      <c r="E36" s="28">
        <v>8538.0</v>
      </c>
      <c r="G36" s="66"/>
      <c r="H36" s="12"/>
      <c r="I36" s="12"/>
      <c r="J36" s="12"/>
      <c r="K36" s="67"/>
      <c r="L36" s="66"/>
      <c r="M36" s="12"/>
      <c r="N36" s="12"/>
      <c r="O36" s="12"/>
      <c r="P36" s="67"/>
      <c r="Q36" s="66"/>
      <c r="R36" s="12"/>
      <c r="S36" s="12"/>
      <c r="T36" s="12"/>
      <c r="U36" s="67"/>
    </row>
    <row r="37">
      <c r="B37" s="36">
        <v>45995.0</v>
      </c>
      <c r="C37" s="21" t="s">
        <v>265</v>
      </c>
      <c r="D37" s="21" t="s">
        <v>15</v>
      </c>
      <c r="E37" s="22">
        <v>2048.0</v>
      </c>
      <c r="G37" s="66"/>
      <c r="H37" s="12"/>
      <c r="I37" s="12"/>
      <c r="J37" s="12"/>
      <c r="K37" s="67"/>
      <c r="L37" s="66"/>
      <c r="M37" s="12"/>
      <c r="N37" s="12"/>
      <c r="O37" s="12"/>
      <c r="P37" s="67"/>
      <c r="Q37" s="66"/>
      <c r="R37" s="12"/>
      <c r="S37" s="12"/>
      <c r="T37" s="12"/>
      <c r="U37" s="67"/>
    </row>
    <row r="38">
      <c r="B38" s="26">
        <v>45996.0</v>
      </c>
      <c r="C38" s="27" t="s">
        <v>266</v>
      </c>
      <c r="D38" s="27" t="s">
        <v>15</v>
      </c>
      <c r="E38" s="28">
        <v>27000.0</v>
      </c>
      <c r="G38" s="66"/>
      <c r="H38" s="12"/>
      <c r="I38" s="12"/>
      <c r="J38" s="12"/>
      <c r="K38" s="67"/>
      <c r="L38" s="66"/>
      <c r="M38" s="12"/>
      <c r="N38" s="12"/>
      <c r="O38" s="12"/>
      <c r="P38" s="67"/>
      <c r="Q38" s="66"/>
      <c r="R38" s="12"/>
      <c r="S38" s="12"/>
      <c r="T38" s="12"/>
      <c r="U38" s="67"/>
    </row>
    <row r="39">
      <c r="B39" s="36">
        <v>46008.0</v>
      </c>
      <c r="C39" s="21" t="s">
        <v>267</v>
      </c>
      <c r="D39" s="21" t="s">
        <v>15</v>
      </c>
      <c r="E39" s="22">
        <v>90000.0</v>
      </c>
      <c r="G39" s="66"/>
      <c r="H39" s="12"/>
      <c r="I39" s="12"/>
      <c r="J39" s="12"/>
      <c r="K39" s="67"/>
      <c r="L39" s="66"/>
      <c r="M39" s="12"/>
      <c r="N39" s="12"/>
      <c r="O39" s="12"/>
      <c r="P39" s="67"/>
      <c r="Q39" s="66"/>
      <c r="R39" s="12"/>
      <c r="S39" s="12"/>
      <c r="T39" s="12"/>
      <c r="U39" s="67"/>
    </row>
    <row r="40">
      <c r="B40" s="26">
        <v>46022.0</v>
      </c>
      <c r="C40" s="27" t="s">
        <v>259</v>
      </c>
      <c r="D40" s="27" t="s">
        <v>15</v>
      </c>
      <c r="E40" s="28">
        <v>120866.0</v>
      </c>
      <c r="G40" s="66"/>
      <c r="H40" s="12"/>
      <c r="I40" s="12"/>
      <c r="J40" s="12"/>
      <c r="K40" s="67"/>
      <c r="L40" s="66"/>
      <c r="M40" s="12"/>
      <c r="N40" s="12"/>
      <c r="O40" s="12"/>
      <c r="P40" s="67"/>
      <c r="Q40" s="66"/>
      <c r="R40" s="12"/>
      <c r="S40" s="12"/>
      <c r="T40" s="12"/>
      <c r="U40" s="67"/>
    </row>
    <row r="41">
      <c r="B41" s="36">
        <v>46022.0</v>
      </c>
      <c r="C41" s="21" t="s">
        <v>259</v>
      </c>
      <c r="D41" s="21" t="s">
        <v>15</v>
      </c>
      <c r="E41" s="22">
        <v>213878.0</v>
      </c>
      <c r="G41" s="66"/>
      <c r="H41" s="12"/>
      <c r="I41" s="12"/>
      <c r="J41" s="12"/>
      <c r="K41" s="67"/>
      <c r="L41" s="66"/>
      <c r="M41" s="12"/>
      <c r="N41" s="12"/>
      <c r="O41" s="12"/>
      <c r="P41" s="67"/>
      <c r="Q41" s="66"/>
      <c r="R41" s="12"/>
      <c r="S41" s="12"/>
      <c r="T41" s="12"/>
      <c r="U41" s="67"/>
    </row>
    <row r="42">
      <c r="B42" s="26">
        <v>46022.0</v>
      </c>
      <c r="C42" s="27" t="s">
        <v>259</v>
      </c>
      <c r="D42" s="27" t="s">
        <v>15</v>
      </c>
      <c r="E42" s="28">
        <v>540971.0</v>
      </c>
      <c r="G42" s="66"/>
      <c r="H42" s="12"/>
      <c r="I42" s="12"/>
      <c r="J42" s="12"/>
      <c r="K42" s="67"/>
      <c r="L42" s="66"/>
      <c r="M42" s="12"/>
      <c r="N42" s="12"/>
      <c r="O42" s="12"/>
      <c r="P42" s="67"/>
      <c r="Q42" s="66"/>
      <c r="R42" s="12"/>
      <c r="S42" s="12"/>
      <c r="T42" s="12"/>
      <c r="U42" s="67"/>
    </row>
    <row r="43">
      <c r="B43" s="36">
        <v>46022.0</v>
      </c>
      <c r="C43" s="21" t="s">
        <v>268</v>
      </c>
      <c r="D43" s="21" t="s">
        <v>15</v>
      </c>
      <c r="E43" s="22">
        <v>70000.0</v>
      </c>
      <c r="G43" s="66"/>
      <c r="H43" s="12"/>
      <c r="I43" s="12"/>
      <c r="J43" s="12"/>
      <c r="K43" s="67"/>
      <c r="L43" s="66"/>
      <c r="M43" s="12"/>
      <c r="N43" s="12"/>
      <c r="O43" s="12"/>
      <c r="P43" s="67"/>
      <c r="Q43" s="66"/>
      <c r="R43" s="12"/>
      <c r="S43" s="12"/>
      <c r="T43" s="12"/>
      <c r="U43" s="67"/>
    </row>
    <row r="44">
      <c r="B44" s="26">
        <v>45996.0</v>
      </c>
      <c r="C44" s="27" t="s">
        <v>269</v>
      </c>
      <c r="D44" s="27" t="s">
        <v>15</v>
      </c>
      <c r="E44" s="28">
        <v>23000.0</v>
      </c>
      <c r="G44" s="66"/>
      <c r="H44" s="12"/>
      <c r="I44" s="12"/>
      <c r="J44" s="12"/>
      <c r="K44" s="67"/>
      <c r="L44" s="66"/>
      <c r="M44" s="12"/>
      <c r="N44" s="12"/>
      <c r="O44" s="12"/>
      <c r="P44" s="67"/>
      <c r="Q44" s="66"/>
      <c r="R44" s="12"/>
      <c r="S44" s="12"/>
      <c r="T44" s="12"/>
      <c r="U44" s="67"/>
    </row>
    <row r="45">
      <c r="B45" s="36">
        <v>45992.0</v>
      </c>
      <c r="C45" s="21"/>
      <c r="D45" s="21" t="s">
        <v>15</v>
      </c>
      <c r="E45" s="22"/>
      <c r="G45" s="66"/>
      <c r="H45" s="12"/>
      <c r="I45" s="12"/>
      <c r="J45" s="12"/>
      <c r="K45" s="67"/>
      <c r="L45" s="66"/>
      <c r="M45" s="12"/>
      <c r="N45" s="12"/>
      <c r="O45" s="12"/>
      <c r="P45" s="67"/>
      <c r="Q45" s="66"/>
      <c r="R45" s="12"/>
      <c r="S45" s="12"/>
      <c r="T45" s="12"/>
      <c r="U45" s="67"/>
    </row>
    <row r="46">
      <c r="B46" s="26">
        <v>45992.0</v>
      </c>
      <c r="C46" s="30"/>
      <c r="D46" s="27" t="s">
        <v>15</v>
      </c>
      <c r="E46" s="31"/>
      <c r="G46" s="66"/>
      <c r="H46" s="12"/>
      <c r="I46" s="12"/>
      <c r="J46" s="12"/>
      <c r="K46" s="67"/>
      <c r="L46" s="66"/>
      <c r="M46" s="12"/>
      <c r="N46" s="12"/>
      <c r="O46" s="12"/>
      <c r="P46" s="67"/>
      <c r="Q46" s="66"/>
      <c r="R46" s="12"/>
      <c r="S46" s="12"/>
      <c r="T46" s="12"/>
      <c r="U46" s="67"/>
    </row>
    <row r="47">
      <c r="B47" s="36">
        <v>45992.0</v>
      </c>
      <c r="C47" s="21"/>
      <c r="D47" s="21" t="s">
        <v>15</v>
      </c>
      <c r="E47" s="22"/>
      <c r="G47" s="66"/>
      <c r="H47" s="12"/>
      <c r="I47" s="12"/>
      <c r="J47" s="12"/>
      <c r="K47" s="67"/>
      <c r="L47" s="66"/>
      <c r="M47" s="12"/>
      <c r="N47" s="12"/>
      <c r="O47" s="12"/>
      <c r="P47" s="67"/>
      <c r="Q47" s="66"/>
      <c r="R47" s="12"/>
      <c r="S47" s="12"/>
      <c r="T47" s="12"/>
      <c r="U47" s="67"/>
    </row>
    <row r="48">
      <c r="B48" s="37" t="s">
        <v>48</v>
      </c>
      <c r="C48" s="2"/>
      <c r="D48" s="2"/>
      <c r="E48" s="38">
        <f>SUM(E5:E47)</f>
        <v>3102631</v>
      </c>
      <c r="G48" s="68"/>
      <c r="H48" s="69"/>
      <c r="I48" s="69"/>
      <c r="J48" s="68"/>
      <c r="K48" s="70"/>
      <c r="L48" s="71"/>
      <c r="M48" s="12"/>
      <c r="N48" s="12"/>
      <c r="O48" s="72"/>
      <c r="P48" s="70"/>
      <c r="Q48" s="71"/>
      <c r="R48" s="12"/>
      <c r="S48" s="12"/>
      <c r="T48" s="72"/>
      <c r="U48" s="70"/>
    </row>
    <row r="49">
      <c r="B49" s="48"/>
      <c r="G49" s="72"/>
      <c r="U49" s="76"/>
    </row>
    <row r="52">
      <c r="T52" s="75"/>
      <c r="U52" s="67"/>
    </row>
    <row r="53">
      <c r="T53" s="75"/>
      <c r="U53" s="67"/>
    </row>
    <row r="54">
      <c r="T54" s="75"/>
      <c r="U54" s="76"/>
    </row>
  </sheetData>
  <mergeCells count="9">
    <mergeCell ref="B49:E49"/>
    <mergeCell ref="G49:T49"/>
    <mergeCell ref="B2:E2"/>
    <mergeCell ref="G2:U2"/>
    <mergeCell ref="B3:E3"/>
    <mergeCell ref="G3:K3"/>
    <mergeCell ref="L3:P3"/>
    <mergeCell ref="Q3:U3"/>
    <mergeCell ref="B48:D48"/>
  </mergeCells>
  <drawing r:id="rId1"/>
</worksheet>
</file>