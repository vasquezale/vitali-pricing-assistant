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le/Documents/Personal/Datos_Vitali/"/>
    </mc:Choice>
  </mc:AlternateContent>
  <xr:revisionPtr revIDLastSave="0" documentId="13_ncr:1_{FEBDBB18-2585-444D-9711-E05434FEC873}" xr6:coauthVersionLast="47" xr6:coauthVersionMax="47" xr10:uidLastSave="{00000000-0000-0000-0000-000000000000}"/>
  <bookViews>
    <workbookView xWindow="0" yWindow="680" windowWidth="34200" windowHeight="20140" activeTab="2" xr2:uid="{00000000-000D-0000-FFFF-FFFF00000000}"/>
  </bookViews>
  <sheets>
    <sheet name="ENERO" sheetId="1" r:id="rId1"/>
    <sheet name="FEBRERO" sheetId="2" r:id="rId2"/>
    <sheet name="MARZO" sheetId="3" r:id="rId3"/>
  </sheets>
  <definedNames>
    <definedName name="_xlnm._FilterDatabase" localSheetId="1" hidden="1">FEBRERO!$B$4:$E$37</definedName>
    <definedName name="_xlnm._FilterDatabase" localSheetId="2" hidden="1">MARZO!$B$4:$E$40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3" l="1"/>
  <c r="U42" i="2"/>
  <c r="U43" i="2" s="1"/>
  <c r="U41" i="2"/>
  <c r="E37" i="2"/>
  <c r="E37" i="1"/>
</calcChain>
</file>

<file path=xl/sharedStrings.xml><?xml version="1.0" encoding="utf-8"?>
<sst xmlns="http://schemas.openxmlformats.org/spreadsheetml/2006/main" count="213" uniqueCount="78">
  <si>
    <t>EGRESOS</t>
  </si>
  <si>
    <t>FINCA VITALI</t>
  </si>
  <si>
    <t>Fecha</t>
  </si>
  <si>
    <t>Descripción</t>
  </si>
  <si>
    <t>Pagado por</t>
  </si>
  <si>
    <t>Monto</t>
  </si>
  <si>
    <t>Starlink / Internet</t>
  </si>
  <si>
    <t>Pablo</t>
  </si>
  <si>
    <t>ADOBE</t>
  </si>
  <si>
    <t>Luz / JASEC pozo</t>
  </si>
  <si>
    <t>Ferreteria | Almacen San Nicolas</t>
  </si>
  <si>
    <t>Almacen San Nicolas</t>
  </si>
  <si>
    <t>Vestimenta/Uniforme | Everlast</t>
  </si>
  <si>
    <t>Vestimenta/Uniforme | Aldo</t>
  </si>
  <si>
    <t>Decoración | La Libre</t>
  </si>
  <si>
    <t>Ferreteria | EPA</t>
  </si>
  <si>
    <t>Ferreteria | EL COLONO</t>
  </si>
  <si>
    <t>Supermercado</t>
  </si>
  <si>
    <t>Servicios Contables | Fox Hound</t>
  </si>
  <si>
    <t>PriceSmart</t>
  </si>
  <si>
    <t>Alimentación | Runaway Grill</t>
  </si>
  <si>
    <t>AMPM</t>
  </si>
  <si>
    <t>Alimentación | TacoBell</t>
  </si>
  <si>
    <t>Gasolina</t>
  </si>
  <si>
    <t>Luz / JASEC Lavandería</t>
  </si>
  <si>
    <t>Luz / JASEC Domos</t>
  </si>
  <si>
    <t>Mantenimiento Jacuzzi</t>
  </si>
  <si>
    <t>Recargas de Gas</t>
  </si>
  <si>
    <t>TOTAL:</t>
  </si>
  <si>
    <t>Gasolina | Delta</t>
  </si>
  <si>
    <t>Farmacia La Arboleda</t>
  </si>
  <si>
    <t>Mantenimiento | SINPE Max</t>
  </si>
  <si>
    <t>Muebles | SINPE Jose</t>
  </si>
  <si>
    <t>Recargas Gas | SINPE Greivin</t>
  </si>
  <si>
    <t>Piedra Cuartilla | Parqueo</t>
  </si>
  <si>
    <t>Agua | Municipalidad Cartago</t>
  </si>
  <si>
    <t>Gimnasio</t>
  </si>
  <si>
    <t>Plastimex</t>
  </si>
  <si>
    <t>Mosaico | Alimentación</t>
  </si>
  <si>
    <t>Pricesmart</t>
  </si>
  <si>
    <t>Wallmart</t>
  </si>
  <si>
    <t>El REY | Decoración</t>
  </si>
  <si>
    <t>Chapeador | SINPE Nancy</t>
  </si>
  <si>
    <t>Gasolina | Servi Indoor</t>
  </si>
  <si>
    <t>Azzam Shaden</t>
  </si>
  <si>
    <t>El Colono</t>
  </si>
  <si>
    <t>Bulali | Alimentación</t>
  </si>
  <si>
    <t>Farmacia Pricesmart</t>
  </si>
  <si>
    <t>INGRESOS</t>
  </si>
  <si>
    <t>TOTAL FINAL</t>
  </si>
  <si>
    <t>Tipo</t>
  </si>
  <si>
    <t>Transferencia</t>
  </si>
  <si>
    <t>Repuestos Marvin | Carro</t>
  </si>
  <si>
    <t>Factura Electrónica</t>
  </si>
  <si>
    <t>KG TEXTIL | Decoración</t>
  </si>
  <si>
    <t>Luz | JASEC pozo</t>
  </si>
  <si>
    <t>NeoCases</t>
  </si>
  <si>
    <t>Agua | Municipalidad</t>
  </si>
  <si>
    <t>Medidor Luz | Lavandería</t>
  </si>
  <si>
    <t>Medidor Luz | Domos</t>
  </si>
  <si>
    <t>UBORA | Decoración</t>
  </si>
  <si>
    <t>Estuche Cel</t>
  </si>
  <si>
    <t>El Rey | Decoración</t>
  </si>
  <si>
    <t>Starlink | Internet</t>
  </si>
  <si>
    <t xml:space="preserve">SOLE FITNESS </t>
  </si>
  <si>
    <t>ENSENSIS | Facturador Virtual</t>
  </si>
  <si>
    <t>FOX&amp;HOUND</t>
  </si>
  <si>
    <t>KAIKO | Alimentación</t>
  </si>
  <si>
    <t>WOODS | Alimentación</t>
  </si>
  <si>
    <t>Servicentro LA TICA | Gasolina</t>
  </si>
  <si>
    <t>MOSAICO | Alimentación</t>
  </si>
  <si>
    <t>SIMAN</t>
  </si>
  <si>
    <t>Jardinería</t>
  </si>
  <si>
    <t>SINPE</t>
  </si>
  <si>
    <t>Almacen Materiales San Nicolás</t>
  </si>
  <si>
    <t>Ferretería</t>
  </si>
  <si>
    <t>Rest. Mi Tierra | Alimentación</t>
  </si>
  <si>
    <t>Sportline | Vestimenta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</si>
</sst>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[$₡]#,##0"/>
  </numFmts>
  <fonts count="9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name val="Arial"/>
    </font>
    <font>
      <b/>
      <sz val="10"/>
      <color rgb="FF434343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434343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274E13"/>
        <bgColor rgb="FF274E13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5" fillId="4" borderId="7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165" fontId="5" fillId="5" borderId="8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5" fillId="5" borderId="7" xfId="0" applyNumberFormat="1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165" fontId="5" fillId="6" borderId="8" xfId="0" applyNumberFormat="1" applyFont="1" applyFill="1" applyBorder="1" applyAlignment="1">
      <alignment horizontal="center"/>
    </xf>
    <xf numFmtId="164" fontId="5" fillId="7" borderId="7" xfId="0" applyNumberFormat="1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165" fontId="7" fillId="5" borderId="9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165" fontId="8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center"/>
    </xf>
    <xf numFmtId="0" fontId="1" fillId="0" borderId="0" xfId="0" applyFont="1"/>
    <xf numFmtId="0" fontId="1" fillId="8" borderId="10" xfId="0" applyFont="1" applyFill="1" applyBorder="1"/>
    <xf numFmtId="165" fontId="5" fillId="5" borderId="10" xfId="0" applyNumberFormat="1" applyFont="1" applyFill="1" applyBorder="1" applyAlignment="1">
      <alignment horizontal="center"/>
    </xf>
    <xf numFmtId="0" fontId="1" fillId="8" borderId="11" xfId="0" applyFont="1" applyFill="1" applyBorder="1"/>
    <xf numFmtId="165" fontId="5" fillId="5" borderId="11" xfId="0" applyNumberFormat="1" applyFont="1" applyFill="1" applyBorder="1" applyAlignment="1">
      <alignment horizontal="center"/>
    </xf>
    <xf numFmtId="0" fontId="1" fillId="2" borderId="12" xfId="0" applyFont="1" applyFill="1" applyBorder="1"/>
    <xf numFmtId="165" fontId="1" fillId="9" borderId="9" xfId="0" applyNumberFormat="1" applyFont="1" applyFill="1" applyBorder="1" applyAlignment="1">
      <alignment horizontal="center"/>
    </xf>
    <xf numFmtId="165" fontId="7" fillId="5" borderId="0" xfId="0" applyNumberFormat="1" applyFont="1" applyFill="1" applyAlignment="1">
      <alignment horizontal="center"/>
    </xf>
    <xf numFmtId="165" fontId="7" fillId="6" borderId="8" xfId="0" applyNumberFormat="1" applyFont="1" applyFill="1" applyBorder="1" applyAlignment="1">
      <alignment horizontal="center"/>
    </xf>
    <xf numFmtId="0" fontId="4" fillId="10" borderId="0" xfId="0" applyFont="1" applyFill="1"/>
    <xf numFmtId="0" fontId="4" fillId="0" borderId="0" xfId="0" applyFont="1"/>
    <xf numFmtId="0" fontId="1" fillId="3" borderId="2" xfId="0" applyFont="1" applyFill="1" applyBorder="1" applyAlignment="1">
      <alignment horizontal="right"/>
    </xf>
    <xf numFmtId="0" fontId="2" fillId="0" borderId="2" xfId="0" applyFont="1" applyBorder="1"/>
    <xf numFmtId="0" fontId="1" fillId="2" borderId="0" xfId="0" applyFont="1" applyFill="1" applyAlignment="1">
      <alignment horizontal="right"/>
    </xf>
    <xf numFmtId="0" fontId="0" fillId="0" borderId="0" xfId="0"/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3" xfId="0" applyFont="1" applyBorder="1"/>
    <xf numFmtId="0" fontId="1" fillId="0" borderId="0" xfId="0" applyFont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1" fillId="3" borderId="7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2:U43"/>
  <sheetViews>
    <sheetView workbookViewId="0"/>
  </sheetViews>
  <sheetFormatPr baseColWidth="10" defaultColWidth="12.6640625" defaultRowHeight="15.75" customHeight="1" x14ac:dyDescent="0.15"/>
  <cols>
    <col min="1" max="1" width="3.1640625" customWidth="1"/>
    <col min="2" max="2" width="15.6640625" customWidth="1"/>
    <col min="3" max="3" width="32.6640625" customWidth="1"/>
    <col min="4" max="4" width="14.5" customWidth="1"/>
    <col min="5" max="5" width="11.1640625" customWidth="1"/>
    <col min="6" max="6" width="3.6640625" customWidth="1"/>
    <col min="7" max="7" width="15" customWidth="1"/>
    <col min="8" max="8" width="16.83203125" customWidth="1"/>
    <col min="9" max="9" width="20" customWidth="1"/>
    <col min="10" max="10" width="17.6640625" customWidth="1"/>
    <col min="13" max="13" width="18.1640625" customWidth="1"/>
    <col min="14" max="14" width="21.1640625" customWidth="1"/>
    <col min="15" max="15" width="17.83203125" customWidth="1"/>
    <col min="18" max="18" width="14.5" customWidth="1"/>
    <col min="19" max="19" width="17.6640625" customWidth="1"/>
    <col min="20" max="20" width="18.1640625" customWidth="1"/>
  </cols>
  <sheetData>
    <row r="2" spans="2:21" ht="15.75" customHeight="1" x14ac:dyDescent="0.15">
      <c r="B2" s="41" t="s">
        <v>0</v>
      </c>
      <c r="C2" s="37"/>
      <c r="D2" s="37"/>
      <c r="E2" s="42"/>
      <c r="G2" s="43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2:21" ht="15.75" customHeight="1" x14ac:dyDescent="0.15">
      <c r="B3" s="44" t="s">
        <v>1</v>
      </c>
      <c r="C3" s="45"/>
      <c r="D3" s="45"/>
      <c r="E3" s="46"/>
      <c r="G3" s="47"/>
      <c r="H3" s="39"/>
      <c r="I3" s="39"/>
      <c r="J3" s="39"/>
      <c r="K3" s="39"/>
      <c r="L3" s="43"/>
      <c r="M3" s="39"/>
      <c r="N3" s="39"/>
      <c r="O3" s="39"/>
      <c r="P3" s="39"/>
      <c r="Q3" s="43"/>
      <c r="R3" s="39"/>
      <c r="S3" s="39"/>
      <c r="T3" s="39"/>
      <c r="U3" s="39"/>
    </row>
    <row r="4" spans="2:21" ht="15.75" customHeight="1" x14ac:dyDescent="0.15">
      <c r="B4" s="2" t="s">
        <v>2</v>
      </c>
      <c r="C4" s="3" t="s">
        <v>3</v>
      </c>
      <c r="D4" s="3" t="s">
        <v>4</v>
      </c>
      <c r="E4" s="4" t="s">
        <v>5</v>
      </c>
      <c r="F4" s="5"/>
      <c r="G4" s="6"/>
      <c r="H4" s="5"/>
      <c r="I4" s="6"/>
      <c r="J4" s="5"/>
      <c r="K4" s="7"/>
      <c r="L4" s="8"/>
      <c r="M4" s="8"/>
      <c r="N4" s="8"/>
      <c r="O4" s="8"/>
      <c r="P4" s="1"/>
      <c r="Q4" s="8"/>
      <c r="R4" s="8"/>
      <c r="S4" s="8"/>
      <c r="T4" s="8"/>
      <c r="U4" s="1"/>
    </row>
    <row r="5" spans="2:21" ht="15.75" customHeight="1" x14ac:dyDescent="0.15">
      <c r="B5" s="9">
        <v>46023</v>
      </c>
      <c r="C5" s="10" t="s">
        <v>6</v>
      </c>
      <c r="D5" s="10" t="s">
        <v>7</v>
      </c>
      <c r="E5" s="11">
        <v>23000</v>
      </c>
      <c r="F5" s="5"/>
      <c r="G5" s="12"/>
      <c r="H5" s="5"/>
      <c r="I5" s="5"/>
      <c r="J5" s="5"/>
      <c r="K5" s="13"/>
      <c r="L5" s="12"/>
      <c r="M5" s="5"/>
      <c r="N5" s="5"/>
      <c r="O5" s="5"/>
      <c r="P5" s="13"/>
      <c r="Q5" s="12"/>
      <c r="R5" s="5"/>
      <c r="S5" s="5"/>
      <c r="T5" s="5"/>
      <c r="U5" s="13"/>
    </row>
    <row r="6" spans="2:21" ht="15.75" customHeight="1" x14ac:dyDescent="0.15">
      <c r="B6" s="14">
        <v>46023</v>
      </c>
      <c r="C6" s="15" t="s">
        <v>8</v>
      </c>
      <c r="D6" s="15" t="s">
        <v>7</v>
      </c>
      <c r="E6" s="16">
        <v>17580</v>
      </c>
      <c r="F6" s="5"/>
      <c r="G6" s="12"/>
      <c r="H6" s="5"/>
      <c r="I6" s="5"/>
      <c r="J6" s="5"/>
      <c r="K6" s="13"/>
      <c r="L6" s="12"/>
      <c r="M6" s="5"/>
      <c r="N6" s="5"/>
      <c r="O6" s="5"/>
      <c r="P6" s="13"/>
      <c r="Q6" s="12"/>
      <c r="R6" s="5"/>
      <c r="S6" s="5"/>
      <c r="T6" s="5"/>
      <c r="U6" s="13"/>
    </row>
    <row r="7" spans="2:21" ht="15.75" customHeight="1" x14ac:dyDescent="0.15">
      <c r="B7" s="9">
        <v>46024</v>
      </c>
      <c r="C7" s="10" t="s">
        <v>9</v>
      </c>
      <c r="D7" s="10" t="s">
        <v>7</v>
      </c>
      <c r="E7" s="11">
        <v>2048</v>
      </c>
      <c r="F7" s="5"/>
      <c r="G7" s="12"/>
      <c r="H7" s="5"/>
      <c r="I7" s="5"/>
      <c r="J7" s="5"/>
      <c r="K7" s="13"/>
      <c r="L7" s="12"/>
      <c r="M7" s="5"/>
      <c r="N7" s="5"/>
      <c r="O7" s="5"/>
      <c r="P7" s="13"/>
      <c r="Q7" s="12"/>
      <c r="R7" s="5"/>
      <c r="S7" s="5"/>
      <c r="T7" s="5"/>
      <c r="U7" s="13"/>
    </row>
    <row r="8" spans="2:21" ht="15.75" customHeight="1" x14ac:dyDescent="0.15">
      <c r="B8" s="14">
        <v>46024</v>
      </c>
      <c r="C8" s="15" t="s">
        <v>10</v>
      </c>
      <c r="D8" s="15" t="s">
        <v>7</v>
      </c>
      <c r="E8" s="16">
        <v>4423</v>
      </c>
      <c r="F8" s="5"/>
      <c r="G8" s="12"/>
      <c r="H8" s="5"/>
      <c r="I8" s="5"/>
      <c r="J8" s="5"/>
      <c r="K8" s="13"/>
      <c r="L8" s="12"/>
      <c r="M8" s="5"/>
      <c r="N8" s="5"/>
      <c r="O8" s="5"/>
      <c r="P8" s="13"/>
      <c r="Q8" s="12"/>
      <c r="R8" s="5"/>
      <c r="S8" s="5"/>
      <c r="T8" s="5"/>
      <c r="U8" s="13"/>
    </row>
    <row r="9" spans="2:21" ht="15.75" customHeight="1" x14ac:dyDescent="0.15">
      <c r="B9" s="9">
        <v>46024</v>
      </c>
      <c r="C9" s="10" t="s">
        <v>11</v>
      </c>
      <c r="D9" s="10" t="s">
        <v>7</v>
      </c>
      <c r="E9" s="11">
        <v>8846</v>
      </c>
      <c r="F9" s="5"/>
      <c r="G9" s="12"/>
      <c r="H9" s="5"/>
      <c r="I9" s="5"/>
      <c r="J9" s="5"/>
      <c r="K9" s="13"/>
      <c r="L9" s="12"/>
      <c r="M9" s="5"/>
      <c r="N9" s="5"/>
      <c r="O9" s="5"/>
      <c r="P9" s="13"/>
      <c r="Q9" s="12"/>
      <c r="R9" s="5"/>
      <c r="S9" s="5"/>
      <c r="T9" s="5"/>
      <c r="U9" s="13"/>
    </row>
    <row r="10" spans="2:21" ht="15.75" customHeight="1" x14ac:dyDescent="0.15">
      <c r="B10" s="14">
        <v>46024</v>
      </c>
      <c r="C10" s="15" t="s">
        <v>12</v>
      </c>
      <c r="D10" s="15" t="s">
        <v>7</v>
      </c>
      <c r="E10" s="16">
        <v>15200</v>
      </c>
      <c r="F10" s="5"/>
      <c r="G10" s="12"/>
      <c r="H10" s="5"/>
      <c r="I10" s="5"/>
      <c r="J10" s="5"/>
      <c r="K10" s="13"/>
      <c r="L10" s="12"/>
      <c r="M10" s="5"/>
      <c r="N10" s="5"/>
      <c r="O10" s="5"/>
      <c r="P10" s="13"/>
      <c r="Q10" s="12"/>
      <c r="R10" s="5"/>
      <c r="S10" s="5"/>
      <c r="T10" s="5"/>
      <c r="U10" s="13"/>
    </row>
    <row r="11" spans="2:21" ht="15.75" customHeight="1" x14ac:dyDescent="0.15">
      <c r="B11" s="9">
        <v>46030</v>
      </c>
      <c r="C11" s="10" t="s">
        <v>13</v>
      </c>
      <c r="D11" s="10" t="s">
        <v>7</v>
      </c>
      <c r="E11" s="11">
        <v>180500</v>
      </c>
      <c r="F11" s="5"/>
      <c r="G11" s="12"/>
      <c r="H11" s="5"/>
      <c r="I11" s="5"/>
      <c r="J11" s="5"/>
      <c r="K11" s="13"/>
      <c r="L11" s="12"/>
      <c r="M11" s="5"/>
      <c r="N11" s="5"/>
      <c r="O11" s="5"/>
      <c r="P11" s="13"/>
      <c r="Q11" s="12"/>
      <c r="R11" s="5"/>
      <c r="S11" s="5"/>
      <c r="T11" s="5"/>
      <c r="U11" s="13"/>
    </row>
    <row r="12" spans="2:21" ht="15.75" customHeight="1" x14ac:dyDescent="0.15">
      <c r="B12" s="14">
        <v>46031</v>
      </c>
      <c r="C12" s="15" t="s">
        <v>14</v>
      </c>
      <c r="D12" s="15" t="s">
        <v>7</v>
      </c>
      <c r="E12" s="16">
        <v>66710</v>
      </c>
      <c r="F12" s="5"/>
      <c r="G12" s="12"/>
      <c r="H12" s="5"/>
      <c r="I12" s="5"/>
      <c r="J12" s="5"/>
      <c r="K12" s="13"/>
      <c r="L12" s="12"/>
      <c r="M12" s="5"/>
      <c r="N12" s="5"/>
      <c r="O12" s="5"/>
      <c r="P12" s="48"/>
      <c r="Q12" s="12"/>
      <c r="R12" s="5"/>
      <c r="S12" s="5"/>
      <c r="T12" s="5"/>
      <c r="U12" s="13"/>
    </row>
    <row r="13" spans="2:21" ht="15.75" customHeight="1" x14ac:dyDescent="0.15">
      <c r="B13" s="17">
        <v>46035</v>
      </c>
      <c r="C13" s="18" t="s">
        <v>15</v>
      </c>
      <c r="D13" s="18" t="s">
        <v>7</v>
      </c>
      <c r="E13" s="11">
        <v>178765</v>
      </c>
      <c r="F13" s="5"/>
      <c r="G13" s="12"/>
      <c r="H13" s="5"/>
      <c r="I13" s="5"/>
      <c r="J13" s="5"/>
      <c r="K13" s="13"/>
      <c r="L13" s="12"/>
      <c r="M13" s="5"/>
      <c r="N13" s="5"/>
      <c r="O13" s="5"/>
      <c r="P13" s="39"/>
      <c r="Q13" s="12"/>
      <c r="R13" s="5"/>
      <c r="S13" s="5"/>
      <c r="T13" s="5"/>
      <c r="U13" s="13"/>
    </row>
    <row r="14" spans="2:21" ht="15.75" customHeight="1" x14ac:dyDescent="0.15">
      <c r="B14" s="14">
        <v>46035</v>
      </c>
      <c r="C14" s="15" t="s">
        <v>15</v>
      </c>
      <c r="D14" s="15" t="s">
        <v>7</v>
      </c>
      <c r="E14" s="16">
        <v>7990</v>
      </c>
      <c r="G14" s="12"/>
      <c r="H14" s="5"/>
      <c r="I14" s="5"/>
      <c r="J14" s="5"/>
      <c r="K14" s="13"/>
      <c r="L14" s="12"/>
      <c r="M14" s="5"/>
      <c r="N14" s="5"/>
      <c r="O14" s="5"/>
      <c r="P14" s="13"/>
      <c r="Q14" s="12"/>
      <c r="R14" s="5"/>
      <c r="S14" s="5"/>
      <c r="T14" s="5"/>
      <c r="U14" s="13"/>
    </row>
    <row r="15" spans="2:21" ht="15.75" customHeight="1" x14ac:dyDescent="0.15">
      <c r="B15" s="9">
        <v>46035</v>
      </c>
      <c r="C15" s="10" t="s">
        <v>15</v>
      </c>
      <c r="D15" s="10" t="s">
        <v>7</v>
      </c>
      <c r="E15" s="11">
        <v>10895</v>
      </c>
      <c r="G15" s="12"/>
      <c r="H15" s="5"/>
      <c r="I15" s="5"/>
      <c r="J15" s="5"/>
      <c r="K15" s="13"/>
      <c r="L15" s="12"/>
      <c r="M15" s="5"/>
      <c r="N15" s="5"/>
      <c r="O15" s="5"/>
      <c r="P15" s="13"/>
      <c r="Q15" s="12"/>
      <c r="R15" s="5"/>
      <c r="S15" s="5"/>
      <c r="T15" s="5"/>
      <c r="U15" s="13"/>
    </row>
    <row r="16" spans="2:21" ht="15.75" customHeight="1" x14ac:dyDescent="0.15">
      <c r="B16" s="14">
        <v>46035</v>
      </c>
      <c r="C16" s="15" t="s">
        <v>16</v>
      </c>
      <c r="D16" s="15" t="s">
        <v>7</v>
      </c>
      <c r="E16" s="16">
        <v>900</v>
      </c>
      <c r="G16" s="12"/>
      <c r="H16" s="5"/>
      <c r="I16" s="5"/>
      <c r="J16" s="5"/>
      <c r="K16" s="13"/>
      <c r="L16" s="12"/>
      <c r="M16" s="5"/>
      <c r="N16" s="5"/>
      <c r="O16" s="5"/>
      <c r="P16" s="13"/>
      <c r="Q16" s="12"/>
      <c r="R16" s="5"/>
      <c r="S16" s="5"/>
      <c r="T16" s="5"/>
      <c r="U16" s="13"/>
    </row>
    <row r="17" spans="2:21" ht="15.75" customHeight="1" x14ac:dyDescent="0.15">
      <c r="B17" s="9">
        <v>46035</v>
      </c>
      <c r="C17" s="10" t="s">
        <v>16</v>
      </c>
      <c r="D17" s="10" t="s">
        <v>7</v>
      </c>
      <c r="E17" s="11">
        <v>10620</v>
      </c>
      <c r="G17" s="12"/>
      <c r="H17" s="5"/>
      <c r="I17" s="5"/>
      <c r="J17" s="5"/>
      <c r="K17" s="13"/>
      <c r="L17" s="12"/>
      <c r="M17" s="5"/>
      <c r="N17" s="5"/>
      <c r="O17" s="5"/>
      <c r="P17" s="13"/>
      <c r="Q17" s="12"/>
      <c r="R17" s="5"/>
      <c r="S17" s="5"/>
      <c r="T17" s="5"/>
      <c r="U17" s="13"/>
    </row>
    <row r="18" spans="2:21" ht="15.75" customHeight="1" x14ac:dyDescent="0.15">
      <c r="B18" s="14">
        <v>46035</v>
      </c>
      <c r="C18" s="15" t="s">
        <v>17</v>
      </c>
      <c r="D18" s="15" t="s">
        <v>7</v>
      </c>
      <c r="E18" s="16">
        <v>55339</v>
      </c>
      <c r="G18" s="12"/>
      <c r="H18" s="5"/>
      <c r="I18" s="5"/>
      <c r="J18" s="5"/>
      <c r="K18" s="13"/>
      <c r="L18" s="12"/>
      <c r="M18" s="5"/>
      <c r="N18" s="5"/>
      <c r="O18" s="5"/>
      <c r="P18" s="13"/>
      <c r="Q18" s="12"/>
      <c r="R18" s="5"/>
      <c r="S18" s="5"/>
      <c r="T18" s="5"/>
      <c r="U18" s="13"/>
    </row>
    <row r="19" spans="2:21" ht="15.75" customHeight="1" x14ac:dyDescent="0.15">
      <c r="B19" s="9">
        <v>46040</v>
      </c>
      <c r="C19" s="10" t="s">
        <v>18</v>
      </c>
      <c r="D19" s="10" t="s">
        <v>7</v>
      </c>
      <c r="E19" s="11">
        <v>60000</v>
      </c>
      <c r="G19" s="12"/>
      <c r="H19" s="5"/>
      <c r="I19" s="5"/>
      <c r="J19" s="5"/>
      <c r="K19" s="13"/>
      <c r="L19" s="12"/>
      <c r="M19" s="5"/>
      <c r="N19" s="5"/>
      <c r="O19" s="5"/>
      <c r="P19" s="13"/>
      <c r="Q19" s="12"/>
      <c r="R19" s="5"/>
      <c r="S19" s="5"/>
      <c r="T19" s="5"/>
      <c r="U19" s="13"/>
    </row>
    <row r="20" spans="2:21" ht="15.75" customHeight="1" x14ac:dyDescent="0.15">
      <c r="B20" s="14">
        <v>46041</v>
      </c>
      <c r="C20" s="15" t="s">
        <v>19</v>
      </c>
      <c r="D20" s="15" t="s">
        <v>7</v>
      </c>
      <c r="E20" s="16">
        <v>21568</v>
      </c>
      <c r="G20" s="12"/>
      <c r="H20" s="5"/>
      <c r="I20" s="5"/>
      <c r="J20" s="5"/>
      <c r="K20" s="13"/>
      <c r="L20" s="12"/>
      <c r="M20" s="5"/>
      <c r="N20" s="5"/>
      <c r="O20" s="5"/>
      <c r="P20" s="13"/>
      <c r="Q20" s="12"/>
      <c r="R20" s="5"/>
      <c r="S20" s="5"/>
      <c r="T20" s="5"/>
      <c r="U20" s="13"/>
    </row>
    <row r="21" spans="2:21" ht="15.75" customHeight="1" x14ac:dyDescent="0.15">
      <c r="B21" s="9">
        <v>46041</v>
      </c>
      <c r="C21" s="10" t="s">
        <v>19</v>
      </c>
      <c r="D21" s="10" t="s">
        <v>7</v>
      </c>
      <c r="E21" s="11">
        <v>32485</v>
      </c>
      <c r="G21" s="12"/>
      <c r="H21" s="5"/>
      <c r="I21" s="5"/>
      <c r="J21" s="5"/>
      <c r="K21" s="13"/>
      <c r="L21" s="12"/>
      <c r="M21" s="5"/>
      <c r="N21" s="5"/>
      <c r="O21" s="5"/>
      <c r="P21" s="13"/>
      <c r="Q21" s="12"/>
      <c r="R21" s="5"/>
      <c r="S21" s="5"/>
      <c r="T21" s="5"/>
      <c r="U21" s="13"/>
    </row>
    <row r="22" spans="2:21" ht="15.75" customHeight="1" x14ac:dyDescent="0.15">
      <c r="B22" s="14">
        <v>46047</v>
      </c>
      <c r="C22" s="15" t="s">
        <v>20</v>
      </c>
      <c r="D22" s="15" t="s">
        <v>7</v>
      </c>
      <c r="E22" s="16">
        <v>44500</v>
      </c>
      <c r="G22" s="12"/>
      <c r="H22" s="5"/>
      <c r="I22" s="5"/>
      <c r="J22" s="5"/>
      <c r="K22" s="13"/>
      <c r="L22" s="12"/>
      <c r="M22" s="5"/>
      <c r="N22" s="5"/>
      <c r="O22" s="5"/>
      <c r="P22" s="13"/>
      <c r="Q22" s="12"/>
      <c r="R22" s="5"/>
      <c r="S22" s="5"/>
      <c r="T22" s="5"/>
      <c r="U22" s="13"/>
    </row>
    <row r="23" spans="2:21" ht="15.75" customHeight="1" x14ac:dyDescent="0.15">
      <c r="B23" s="9">
        <v>46048</v>
      </c>
      <c r="C23" s="10" t="s">
        <v>17</v>
      </c>
      <c r="D23" s="10" t="s">
        <v>7</v>
      </c>
      <c r="E23" s="11">
        <v>24010</v>
      </c>
      <c r="G23" s="12"/>
      <c r="H23" s="5"/>
      <c r="I23" s="5"/>
      <c r="J23" s="5"/>
      <c r="K23" s="13"/>
      <c r="L23" s="12"/>
      <c r="M23" s="5"/>
      <c r="N23" s="5"/>
      <c r="O23" s="5"/>
      <c r="P23" s="13"/>
      <c r="Q23" s="12"/>
      <c r="R23" s="5"/>
      <c r="S23" s="5"/>
      <c r="T23" s="5"/>
      <c r="U23" s="13"/>
    </row>
    <row r="24" spans="2:21" ht="15.75" customHeight="1" x14ac:dyDescent="0.15">
      <c r="B24" s="14">
        <v>46049</v>
      </c>
      <c r="C24" s="15" t="s">
        <v>21</v>
      </c>
      <c r="D24" s="15" t="s">
        <v>7</v>
      </c>
      <c r="E24" s="16">
        <v>26620</v>
      </c>
      <c r="G24" s="12"/>
      <c r="H24" s="5"/>
      <c r="I24" s="5"/>
      <c r="J24" s="5"/>
      <c r="K24" s="13"/>
      <c r="L24" s="12"/>
      <c r="M24" s="5"/>
      <c r="N24" s="5"/>
      <c r="O24" s="5"/>
      <c r="P24" s="13"/>
      <c r="Q24" s="12"/>
      <c r="R24" s="5"/>
      <c r="S24" s="5"/>
      <c r="T24" s="5"/>
      <c r="U24" s="13"/>
    </row>
    <row r="25" spans="2:21" ht="15.75" customHeight="1" x14ac:dyDescent="0.15">
      <c r="B25" s="9">
        <v>46049</v>
      </c>
      <c r="C25" s="10" t="s">
        <v>16</v>
      </c>
      <c r="D25" s="10" t="s">
        <v>7</v>
      </c>
      <c r="E25" s="11">
        <v>11950</v>
      </c>
      <c r="G25" s="12"/>
      <c r="H25" s="5"/>
      <c r="I25" s="5"/>
      <c r="J25" s="5"/>
      <c r="K25" s="13"/>
      <c r="L25" s="12"/>
      <c r="M25" s="5"/>
      <c r="N25" s="5"/>
      <c r="O25" s="5"/>
      <c r="P25" s="13"/>
      <c r="Q25" s="12"/>
      <c r="R25" s="5"/>
      <c r="S25" s="5"/>
      <c r="T25" s="5"/>
      <c r="U25" s="13"/>
    </row>
    <row r="26" spans="2:21" ht="15.75" customHeight="1" x14ac:dyDescent="0.15">
      <c r="B26" s="14">
        <v>46052</v>
      </c>
      <c r="C26" s="15" t="s">
        <v>22</v>
      </c>
      <c r="D26" s="15" t="s">
        <v>7</v>
      </c>
      <c r="E26" s="16">
        <v>6900</v>
      </c>
      <c r="G26" s="12"/>
      <c r="H26" s="5"/>
      <c r="I26" s="5"/>
      <c r="J26" s="5"/>
      <c r="K26" s="13"/>
      <c r="L26" s="12"/>
      <c r="M26" s="5"/>
      <c r="N26" s="5"/>
      <c r="O26" s="5"/>
      <c r="P26" s="13"/>
      <c r="Q26" s="12"/>
      <c r="R26" s="5"/>
      <c r="S26" s="5"/>
      <c r="T26" s="5"/>
      <c r="U26" s="13"/>
    </row>
    <row r="27" spans="2:21" ht="15.75" customHeight="1" x14ac:dyDescent="0.15">
      <c r="B27" s="9">
        <v>46053</v>
      </c>
      <c r="C27" s="10" t="s">
        <v>23</v>
      </c>
      <c r="D27" s="10" t="s">
        <v>7</v>
      </c>
      <c r="E27" s="11">
        <v>31017</v>
      </c>
      <c r="G27" s="12"/>
      <c r="H27" s="5"/>
      <c r="I27" s="5"/>
      <c r="J27" s="5"/>
      <c r="K27" s="13"/>
      <c r="L27" s="12"/>
      <c r="M27" s="5"/>
      <c r="N27" s="5"/>
      <c r="O27" s="5"/>
      <c r="P27" s="13"/>
      <c r="Q27" s="12"/>
      <c r="R27" s="5"/>
      <c r="S27" s="5"/>
      <c r="T27" s="5"/>
      <c r="U27" s="13"/>
    </row>
    <row r="28" spans="2:21" ht="15.75" customHeight="1" x14ac:dyDescent="0.15">
      <c r="B28" s="14">
        <v>46024</v>
      </c>
      <c r="C28" s="15" t="s">
        <v>24</v>
      </c>
      <c r="D28" s="15" t="s">
        <v>7</v>
      </c>
      <c r="E28" s="16">
        <v>90218</v>
      </c>
      <c r="G28" s="12"/>
      <c r="H28" s="5"/>
      <c r="I28" s="5"/>
      <c r="J28" s="5"/>
      <c r="K28" s="13"/>
      <c r="L28" s="12"/>
      <c r="M28" s="5"/>
      <c r="N28" s="5"/>
      <c r="O28" s="5"/>
      <c r="P28" s="13"/>
      <c r="Q28" s="12"/>
      <c r="R28" s="5"/>
      <c r="S28" s="5"/>
      <c r="T28" s="5"/>
      <c r="U28" s="13"/>
    </row>
    <row r="29" spans="2:21" ht="15.75" customHeight="1" x14ac:dyDescent="0.15">
      <c r="B29" s="9">
        <v>46024</v>
      </c>
      <c r="C29" s="10" t="s">
        <v>25</v>
      </c>
      <c r="D29" s="10" t="s">
        <v>7</v>
      </c>
      <c r="E29" s="11">
        <v>11870</v>
      </c>
      <c r="G29" s="12"/>
      <c r="H29" s="5"/>
      <c r="I29" s="5"/>
      <c r="J29" s="5"/>
      <c r="K29" s="13"/>
      <c r="L29" s="12"/>
      <c r="M29" s="5"/>
      <c r="N29" s="5"/>
      <c r="O29" s="5"/>
      <c r="P29" s="13"/>
      <c r="Q29" s="12"/>
      <c r="R29" s="5"/>
      <c r="S29" s="5"/>
      <c r="T29" s="5"/>
      <c r="U29" s="13"/>
    </row>
    <row r="30" spans="2:21" ht="15.75" customHeight="1" x14ac:dyDescent="0.15">
      <c r="B30" s="14">
        <v>46030</v>
      </c>
      <c r="C30" s="15" t="s">
        <v>26</v>
      </c>
      <c r="D30" s="15" t="s">
        <v>7</v>
      </c>
      <c r="E30" s="16">
        <v>25000</v>
      </c>
      <c r="G30" s="12"/>
      <c r="H30" s="5"/>
      <c r="I30" s="5"/>
      <c r="J30" s="5"/>
      <c r="K30" s="13"/>
      <c r="L30" s="12"/>
      <c r="M30" s="5"/>
      <c r="N30" s="5"/>
      <c r="O30" s="5"/>
      <c r="P30" s="13"/>
      <c r="Q30" s="12"/>
      <c r="R30" s="5"/>
      <c r="S30" s="5"/>
      <c r="T30" s="5"/>
      <c r="U30" s="13"/>
    </row>
    <row r="31" spans="2:21" ht="15.75" customHeight="1" x14ac:dyDescent="0.15">
      <c r="B31" s="9">
        <v>46043</v>
      </c>
      <c r="C31" s="10" t="s">
        <v>27</v>
      </c>
      <c r="D31" s="10" t="s">
        <v>7</v>
      </c>
      <c r="E31" s="11">
        <v>24000</v>
      </c>
      <c r="G31" s="12"/>
      <c r="H31" s="5"/>
      <c r="I31" s="5"/>
      <c r="J31" s="5"/>
      <c r="K31" s="13"/>
      <c r="L31" s="12"/>
      <c r="M31" s="5"/>
      <c r="N31" s="5"/>
      <c r="O31" s="5"/>
      <c r="P31" s="13"/>
      <c r="Q31" s="12"/>
      <c r="R31" s="5"/>
      <c r="S31" s="5"/>
      <c r="T31" s="5"/>
      <c r="U31" s="13"/>
    </row>
    <row r="32" spans="2:21" ht="15.75" customHeight="1" x14ac:dyDescent="0.15">
      <c r="B32" s="14">
        <v>46053</v>
      </c>
      <c r="C32" s="15"/>
      <c r="D32" s="15" t="s">
        <v>7</v>
      </c>
      <c r="E32" s="16"/>
      <c r="G32" s="12"/>
      <c r="H32" s="5"/>
      <c r="I32" s="5"/>
      <c r="J32" s="5"/>
      <c r="K32" s="13"/>
      <c r="L32" s="12"/>
      <c r="M32" s="5"/>
      <c r="N32" s="5"/>
      <c r="O32" s="5"/>
      <c r="P32" s="13"/>
      <c r="Q32" s="12"/>
      <c r="R32" s="5"/>
      <c r="S32" s="5"/>
      <c r="T32" s="5"/>
      <c r="U32" s="13"/>
    </row>
    <row r="33" spans="2:21" ht="15.75" customHeight="1" x14ac:dyDescent="0.15">
      <c r="B33" s="9">
        <v>46053</v>
      </c>
      <c r="C33" s="10"/>
      <c r="D33" s="10" t="s">
        <v>7</v>
      </c>
      <c r="E33" s="11"/>
      <c r="G33" s="12"/>
      <c r="H33" s="5"/>
      <c r="I33" s="5"/>
      <c r="J33" s="5"/>
      <c r="K33" s="13"/>
      <c r="L33" s="12"/>
      <c r="M33" s="5"/>
      <c r="N33" s="5"/>
      <c r="O33" s="5"/>
      <c r="P33" s="13"/>
      <c r="Q33" s="12"/>
      <c r="R33" s="5"/>
      <c r="S33" s="5"/>
      <c r="T33" s="5"/>
      <c r="U33" s="13"/>
    </row>
    <row r="34" spans="2:21" ht="15.75" customHeight="1" x14ac:dyDescent="0.15">
      <c r="B34" s="14">
        <v>46053</v>
      </c>
      <c r="C34" s="15"/>
      <c r="D34" s="15" t="s">
        <v>7</v>
      </c>
      <c r="E34" s="16"/>
      <c r="G34" s="12"/>
      <c r="H34" s="5"/>
      <c r="I34" s="5"/>
      <c r="J34" s="5"/>
      <c r="K34" s="13"/>
      <c r="L34" s="12"/>
      <c r="M34" s="5"/>
      <c r="N34" s="5"/>
      <c r="O34" s="5"/>
      <c r="P34" s="13"/>
      <c r="Q34" s="12"/>
      <c r="R34" s="5"/>
      <c r="S34" s="5"/>
      <c r="T34" s="5"/>
      <c r="U34" s="13"/>
    </row>
    <row r="35" spans="2:21" ht="15.75" customHeight="1" x14ac:dyDescent="0.15">
      <c r="B35" s="9">
        <v>46053</v>
      </c>
      <c r="C35" s="10"/>
      <c r="D35" s="10" t="s">
        <v>7</v>
      </c>
      <c r="E35" s="11"/>
      <c r="G35" s="12"/>
      <c r="H35" s="5"/>
      <c r="I35" s="5"/>
      <c r="J35" s="5"/>
      <c r="K35" s="13"/>
      <c r="L35" s="12"/>
      <c r="M35" s="5"/>
      <c r="N35" s="5"/>
      <c r="O35" s="5"/>
      <c r="P35" s="13"/>
      <c r="Q35" s="12"/>
      <c r="R35" s="5"/>
      <c r="S35" s="5"/>
      <c r="T35" s="5"/>
      <c r="U35" s="13"/>
    </row>
    <row r="36" spans="2:21" ht="15.75" customHeight="1" x14ac:dyDescent="0.15">
      <c r="B36" s="14"/>
      <c r="C36" s="15"/>
      <c r="D36" s="15" t="s">
        <v>7</v>
      </c>
      <c r="E36" s="16"/>
      <c r="G36" s="12"/>
      <c r="H36" s="5"/>
      <c r="I36" s="5"/>
      <c r="J36" s="5"/>
      <c r="K36" s="13"/>
      <c r="L36" s="12"/>
      <c r="M36" s="5"/>
      <c r="N36" s="5"/>
      <c r="O36" s="5"/>
      <c r="P36" s="13"/>
      <c r="Q36" s="12"/>
      <c r="R36" s="5"/>
      <c r="S36" s="5"/>
      <c r="T36" s="5"/>
      <c r="U36" s="13"/>
    </row>
    <row r="37" spans="2:21" ht="15.75" customHeight="1" x14ac:dyDescent="0.15">
      <c r="B37" s="36" t="s">
        <v>28</v>
      </c>
      <c r="C37" s="37"/>
      <c r="D37" s="37"/>
      <c r="E37" s="19">
        <f>SUM(E5:E36)</f>
        <v>992954</v>
      </c>
      <c r="G37" s="20"/>
      <c r="H37" s="6"/>
      <c r="I37" s="6"/>
      <c r="J37" s="20"/>
      <c r="K37" s="21"/>
      <c r="L37" s="22"/>
      <c r="M37" s="5"/>
      <c r="N37" s="5"/>
      <c r="O37" s="23"/>
      <c r="P37" s="21"/>
      <c r="Q37" s="22"/>
      <c r="R37" s="5"/>
      <c r="S37" s="5"/>
      <c r="T37" s="23"/>
      <c r="U37" s="21"/>
    </row>
    <row r="38" spans="2:21" ht="15.75" customHeight="1" x14ac:dyDescent="0.15">
      <c r="B38" s="38"/>
      <c r="C38" s="39"/>
      <c r="D38" s="39"/>
      <c r="E38" s="39"/>
      <c r="G38" s="40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24"/>
    </row>
    <row r="41" spans="2:21" ht="15.75" customHeight="1" x14ac:dyDescent="0.15">
      <c r="T41" s="25"/>
      <c r="U41" s="13"/>
    </row>
    <row r="42" spans="2:21" ht="15.75" customHeight="1" x14ac:dyDescent="0.15">
      <c r="T42" s="25"/>
      <c r="U42" s="13"/>
    </row>
    <row r="43" spans="2:21" ht="15.75" customHeight="1" x14ac:dyDescent="0.15">
      <c r="T43" s="25"/>
      <c r="U43" s="24"/>
    </row>
  </sheetData>
  <mergeCells count="10">
    <mergeCell ref="B37:D37"/>
    <mergeCell ref="B38:E38"/>
    <mergeCell ref="G38:T38"/>
    <mergeCell ref="B2:E2"/>
    <mergeCell ref="G2:U2"/>
    <mergeCell ref="B3:E3"/>
    <mergeCell ref="G3:K3"/>
    <mergeCell ref="L3:P3"/>
    <mergeCell ref="Q3:U3"/>
    <mergeCell ref="P12:P1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U43"/>
  <sheetViews>
    <sheetView workbookViewId="0"/>
  </sheetViews>
  <sheetFormatPr baseColWidth="10" defaultColWidth="12.6640625" defaultRowHeight="15.75" customHeight="1" x14ac:dyDescent="0.15"/>
  <cols>
    <col min="1" max="1" width="3.1640625" customWidth="1"/>
    <col min="2" max="2" width="15.6640625" customWidth="1"/>
    <col min="3" max="3" width="32.6640625" customWidth="1"/>
    <col min="4" max="4" width="14.5" customWidth="1"/>
    <col min="5" max="5" width="11.1640625" customWidth="1"/>
    <col min="6" max="6" width="3.6640625" customWidth="1"/>
    <col min="7" max="7" width="15" customWidth="1"/>
    <col min="8" max="8" width="16.83203125" customWidth="1"/>
    <col min="9" max="9" width="20" customWidth="1"/>
    <col min="10" max="10" width="17.6640625" customWidth="1"/>
    <col min="13" max="13" width="18.1640625" customWidth="1"/>
    <col min="14" max="14" width="21.1640625" customWidth="1"/>
    <col min="15" max="15" width="17.83203125" customWidth="1"/>
    <col min="18" max="18" width="14.5" customWidth="1"/>
    <col min="19" max="19" width="17.6640625" customWidth="1"/>
    <col min="20" max="20" width="18.1640625" customWidth="1"/>
  </cols>
  <sheetData>
    <row r="2" spans="2:21" ht="15.75" customHeight="1" x14ac:dyDescent="0.15">
      <c r="B2" s="41" t="s">
        <v>0</v>
      </c>
      <c r="C2" s="37"/>
      <c r="D2" s="37"/>
      <c r="E2" s="42"/>
      <c r="G2" s="43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2:21" ht="15.75" customHeight="1" x14ac:dyDescent="0.15">
      <c r="B3" s="44" t="s">
        <v>1</v>
      </c>
      <c r="C3" s="45"/>
      <c r="D3" s="45"/>
      <c r="E3" s="46"/>
      <c r="G3" s="47"/>
      <c r="H3" s="39"/>
      <c r="I3" s="39"/>
      <c r="J3" s="39"/>
      <c r="K3" s="39"/>
      <c r="L3" s="43"/>
      <c r="M3" s="39"/>
      <c r="N3" s="39"/>
      <c r="O3" s="39"/>
      <c r="P3" s="39"/>
      <c r="Q3" s="43"/>
      <c r="R3" s="39"/>
      <c r="S3" s="39"/>
      <c r="T3" s="39"/>
      <c r="U3" s="39"/>
    </row>
    <row r="4" spans="2:21" ht="15.75" customHeight="1" x14ac:dyDescent="0.15">
      <c r="B4" s="2" t="s">
        <v>2</v>
      </c>
      <c r="C4" s="3" t="s">
        <v>3</v>
      </c>
      <c r="D4" s="3" t="s">
        <v>4</v>
      </c>
      <c r="E4" s="4" t="s">
        <v>5</v>
      </c>
      <c r="F4" s="5"/>
      <c r="G4" s="6"/>
      <c r="H4" s="5"/>
      <c r="I4" s="6"/>
      <c r="J4" s="5"/>
      <c r="K4" s="7"/>
      <c r="L4" s="8"/>
      <c r="M4" s="8"/>
      <c r="N4" s="8"/>
      <c r="O4" s="8"/>
      <c r="P4" s="1"/>
      <c r="Q4" s="8"/>
      <c r="R4" s="8"/>
      <c r="S4" s="8"/>
      <c r="T4" s="8"/>
      <c r="U4" s="1"/>
    </row>
    <row r="5" spans="2:21" ht="15.75" customHeight="1" x14ac:dyDescent="0.15">
      <c r="B5" s="14">
        <v>46054</v>
      </c>
      <c r="C5" s="15" t="s">
        <v>18</v>
      </c>
      <c r="D5" s="15" t="s">
        <v>7</v>
      </c>
      <c r="E5" s="16"/>
      <c r="F5" s="5"/>
      <c r="G5" s="12"/>
      <c r="H5" s="5"/>
      <c r="I5" s="5"/>
      <c r="J5" s="5"/>
      <c r="K5" s="13"/>
      <c r="L5" s="12"/>
      <c r="M5" s="5"/>
      <c r="N5" s="5"/>
      <c r="O5" s="5"/>
      <c r="P5" s="13"/>
      <c r="Q5" s="12"/>
      <c r="R5" s="5"/>
      <c r="S5" s="5"/>
      <c r="T5" s="5"/>
      <c r="U5" s="13"/>
    </row>
    <row r="6" spans="2:21" ht="15.75" customHeight="1" x14ac:dyDescent="0.15">
      <c r="B6" s="9">
        <v>46054</v>
      </c>
      <c r="C6" s="10" t="s">
        <v>29</v>
      </c>
      <c r="D6" s="10" t="s">
        <v>7</v>
      </c>
      <c r="E6" s="11">
        <v>25000</v>
      </c>
      <c r="F6" s="5"/>
      <c r="G6" s="12"/>
      <c r="H6" s="5"/>
      <c r="I6" s="5"/>
      <c r="J6" s="5"/>
      <c r="K6" s="48"/>
      <c r="L6" s="12"/>
      <c r="M6" s="5"/>
      <c r="N6" s="5"/>
      <c r="O6" s="5"/>
      <c r="P6" s="48"/>
      <c r="Q6" s="12"/>
      <c r="R6" s="5"/>
      <c r="S6" s="5"/>
      <c r="T6" s="5"/>
      <c r="U6" s="13"/>
    </row>
    <row r="7" spans="2:21" ht="15.75" customHeight="1" x14ac:dyDescent="0.15">
      <c r="B7" s="14">
        <v>46054</v>
      </c>
      <c r="C7" s="15" t="s">
        <v>30</v>
      </c>
      <c r="D7" s="15" t="s">
        <v>7</v>
      </c>
      <c r="E7" s="16">
        <v>28790</v>
      </c>
      <c r="F7" s="5"/>
      <c r="G7" s="12"/>
      <c r="H7" s="5"/>
      <c r="I7" s="5"/>
      <c r="J7" s="5"/>
      <c r="K7" s="39"/>
      <c r="L7" s="12"/>
      <c r="M7" s="5"/>
      <c r="N7" s="5"/>
      <c r="O7" s="5"/>
      <c r="P7" s="39"/>
      <c r="Q7" s="12"/>
      <c r="R7" s="5"/>
      <c r="S7" s="5"/>
      <c r="T7" s="5"/>
      <c r="U7" s="13"/>
    </row>
    <row r="8" spans="2:21" ht="15.75" customHeight="1" x14ac:dyDescent="0.15">
      <c r="B8" s="9">
        <v>46054</v>
      </c>
      <c r="C8" s="10" t="s">
        <v>31</v>
      </c>
      <c r="D8" s="10" t="s">
        <v>7</v>
      </c>
      <c r="E8" s="11">
        <v>100000</v>
      </c>
      <c r="F8" s="5"/>
      <c r="G8" s="12"/>
      <c r="H8" s="5"/>
      <c r="I8" s="5"/>
      <c r="J8" s="5"/>
      <c r="K8" s="13"/>
      <c r="L8" s="12"/>
      <c r="M8" s="5"/>
      <c r="N8" s="5"/>
      <c r="O8" s="5"/>
      <c r="P8" s="13"/>
      <c r="Q8" s="12"/>
      <c r="R8" s="5"/>
      <c r="S8" s="5"/>
      <c r="T8" s="5"/>
      <c r="U8" s="13"/>
    </row>
    <row r="9" spans="2:21" ht="15.75" customHeight="1" x14ac:dyDescent="0.15">
      <c r="B9" s="9">
        <v>46054</v>
      </c>
      <c r="C9" s="10" t="s">
        <v>32</v>
      </c>
      <c r="D9" s="10" t="s">
        <v>7</v>
      </c>
      <c r="E9" s="11">
        <v>340000</v>
      </c>
      <c r="F9" s="5"/>
      <c r="G9" s="12"/>
      <c r="H9" s="5"/>
      <c r="I9" s="5"/>
      <c r="J9" s="5"/>
      <c r="K9" s="13"/>
      <c r="L9" s="12"/>
      <c r="M9" s="5"/>
      <c r="N9" s="5"/>
      <c r="O9" s="5"/>
      <c r="P9" s="13"/>
      <c r="Q9" s="12"/>
      <c r="R9" s="5"/>
      <c r="S9" s="5"/>
      <c r="T9" s="5"/>
      <c r="U9" s="13"/>
    </row>
    <row r="10" spans="2:21" ht="15.75" customHeight="1" x14ac:dyDescent="0.15">
      <c r="B10" s="14">
        <v>46054</v>
      </c>
      <c r="C10" s="15" t="s">
        <v>33</v>
      </c>
      <c r="D10" s="15" t="s">
        <v>7</v>
      </c>
      <c r="E10" s="16">
        <v>17000</v>
      </c>
      <c r="F10" s="5"/>
      <c r="G10" s="12"/>
      <c r="H10" s="5"/>
      <c r="I10" s="5"/>
      <c r="J10" s="5"/>
      <c r="K10" s="13"/>
      <c r="L10" s="12"/>
      <c r="M10" s="5"/>
      <c r="N10" s="5"/>
      <c r="O10" s="5"/>
      <c r="P10" s="48"/>
      <c r="Q10" s="12"/>
      <c r="R10" s="5"/>
      <c r="S10" s="5"/>
      <c r="T10" s="5"/>
      <c r="U10" s="13"/>
    </row>
    <row r="11" spans="2:21" ht="15.75" customHeight="1" x14ac:dyDescent="0.15">
      <c r="B11" s="9">
        <v>46057</v>
      </c>
      <c r="C11" s="10" t="s">
        <v>6</v>
      </c>
      <c r="D11" s="10" t="s">
        <v>7</v>
      </c>
      <c r="E11" s="11">
        <v>23000</v>
      </c>
      <c r="F11" s="5"/>
      <c r="G11" s="12"/>
      <c r="H11" s="5"/>
      <c r="I11" s="5"/>
      <c r="J11" s="5"/>
      <c r="K11" s="13"/>
      <c r="L11" s="12"/>
      <c r="M11" s="5"/>
      <c r="N11" s="5"/>
      <c r="O11" s="5"/>
      <c r="P11" s="39"/>
      <c r="Q11" s="12"/>
      <c r="R11" s="5"/>
      <c r="S11" s="5"/>
      <c r="T11" s="5"/>
      <c r="U11" s="13"/>
    </row>
    <row r="12" spans="2:21" ht="15.75" customHeight="1" x14ac:dyDescent="0.15">
      <c r="B12" s="14">
        <v>46057</v>
      </c>
      <c r="C12" s="15" t="s">
        <v>34</v>
      </c>
      <c r="D12" s="15" t="s">
        <v>7</v>
      </c>
      <c r="E12" s="16">
        <v>116390</v>
      </c>
      <c r="F12" s="5"/>
      <c r="G12" s="12"/>
      <c r="H12" s="5"/>
      <c r="I12" s="5"/>
      <c r="J12" s="5"/>
      <c r="K12" s="13"/>
      <c r="L12" s="12"/>
      <c r="M12" s="5"/>
      <c r="N12" s="5"/>
      <c r="O12" s="5"/>
      <c r="P12" s="13"/>
      <c r="Q12" s="12"/>
      <c r="R12" s="5"/>
      <c r="S12" s="5"/>
      <c r="T12" s="5"/>
      <c r="U12" s="13"/>
    </row>
    <row r="13" spans="2:21" ht="15.75" customHeight="1" x14ac:dyDescent="0.15">
      <c r="B13" s="14">
        <v>46058</v>
      </c>
      <c r="C13" s="15" t="s">
        <v>8</v>
      </c>
      <c r="D13" s="15" t="s">
        <v>7</v>
      </c>
      <c r="E13" s="16">
        <v>17580</v>
      </c>
      <c r="F13" s="5"/>
      <c r="G13" s="12"/>
      <c r="H13" s="5"/>
      <c r="I13" s="5"/>
      <c r="J13" s="5"/>
      <c r="K13" s="13"/>
      <c r="L13" s="12"/>
      <c r="M13" s="5"/>
      <c r="N13" s="5"/>
      <c r="O13" s="5"/>
      <c r="P13" s="13"/>
      <c r="Q13" s="12"/>
      <c r="R13" s="5"/>
      <c r="S13" s="5"/>
      <c r="T13" s="5"/>
      <c r="U13" s="13"/>
    </row>
    <row r="14" spans="2:21" ht="15.75" customHeight="1" x14ac:dyDescent="0.15">
      <c r="B14" s="9">
        <v>46058</v>
      </c>
      <c r="C14" s="10" t="s">
        <v>9</v>
      </c>
      <c r="D14" s="10" t="s">
        <v>7</v>
      </c>
      <c r="E14" s="11">
        <v>2048</v>
      </c>
      <c r="G14" s="12"/>
      <c r="H14" s="5"/>
      <c r="I14" s="5"/>
      <c r="J14" s="5"/>
      <c r="K14" s="13"/>
      <c r="L14" s="12"/>
      <c r="M14" s="5"/>
      <c r="N14" s="5"/>
      <c r="O14" s="5"/>
      <c r="P14" s="13"/>
      <c r="Q14" s="12"/>
      <c r="R14" s="5"/>
      <c r="S14" s="5"/>
      <c r="T14" s="5"/>
      <c r="U14" s="13"/>
    </row>
    <row r="15" spans="2:21" ht="15.75" customHeight="1" x14ac:dyDescent="0.15">
      <c r="B15" s="14">
        <v>46058</v>
      </c>
      <c r="C15" s="15" t="s">
        <v>24</v>
      </c>
      <c r="D15" s="15" t="s">
        <v>7</v>
      </c>
      <c r="E15" s="16">
        <v>102500</v>
      </c>
      <c r="G15" s="12"/>
      <c r="H15" s="5"/>
      <c r="I15" s="5"/>
      <c r="J15" s="5"/>
      <c r="K15" s="13"/>
      <c r="L15" s="12"/>
      <c r="M15" s="5"/>
      <c r="N15" s="5"/>
      <c r="O15" s="5"/>
      <c r="P15" s="13"/>
      <c r="Q15" s="12"/>
      <c r="R15" s="5"/>
      <c r="S15" s="5"/>
      <c r="T15" s="5"/>
      <c r="U15" s="13"/>
    </row>
    <row r="16" spans="2:21" ht="15.75" customHeight="1" x14ac:dyDescent="0.15">
      <c r="B16" s="9">
        <v>46058</v>
      </c>
      <c r="C16" s="10" t="s">
        <v>35</v>
      </c>
      <c r="D16" s="10" t="s">
        <v>7</v>
      </c>
      <c r="E16" s="11">
        <v>45000</v>
      </c>
      <c r="G16" s="12"/>
      <c r="H16" s="5"/>
      <c r="I16" s="5"/>
      <c r="J16" s="5"/>
      <c r="K16" s="13"/>
      <c r="L16" s="12"/>
      <c r="M16" s="5"/>
      <c r="N16" s="5"/>
      <c r="O16" s="5"/>
      <c r="P16" s="13"/>
      <c r="Q16" s="12"/>
      <c r="R16" s="5"/>
      <c r="S16" s="5"/>
      <c r="T16" s="5"/>
      <c r="U16" s="13"/>
    </row>
    <row r="17" spans="2:21" ht="15.75" customHeight="1" x14ac:dyDescent="0.15">
      <c r="B17" s="14">
        <v>46058</v>
      </c>
      <c r="C17" s="15" t="s">
        <v>25</v>
      </c>
      <c r="D17" s="15" t="s">
        <v>7</v>
      </c>
      <c r="E17" s="16">
        <v>8500</v>
      </c>
      <c r="G17" s="12"/>
      <c r="H17" s="5"/>
      <c r="I17" s="5"/>
      <c r="J17" s="5"/>
      <c r="K17" s="13"/>
      <c r="L17" s="12"/>
      <c r="M17" s="5"/>
      <c r="N17" s="5"/>
      <c r="O17" s="5"/>
      <c r="P17" s="13"/>
      <c r="Q17" s="12"/>
      <c r="R17" s="5"/>
      <c r="S17" s="5"/>
      <c r="T17" s="5"/>
      <c r="U17" s="13"/>
    </row>
    <row r="18" spans="2:21" ht="15.75" customHeight="1" x14ac:dyDescent="0.15">
      <c r="B18" s="9">
        <v>46059</v>
      </c>
      <c r="C18" s="10" t="s">
        <v>36</v>
      </c>
      <c r="D18" s="10" t="s">
        <v>7</v>
      </c>
      <c r="E18" s="11">
        <v>39000</v>
      </c>
      <c r="G18" s="12"/>
      <c r="H18" s="5"/>
      <c r="I18" s="5"/>
      <c r="J18" s="5"/>
      <c r="K18" s="13"/>
      <c r="L18" s="12"/>
      <c r="M18" s="5"/>
      <c r="N18" s="5"/>
      <c r="O18" s="5"/>
      <c r="P18" s="13"/>
      <c r="Q18" s="12"/>
      <c r="R18" s="5"/>
      <c r="S18" s="5"/>
      <c r="T18" s="5"/>
      <c r="U18" s="13"/>
    </row>
    <row r="19" spans="2:21" ht="15.75" customHeight="1" x14ac:dyDescent="0.15">
      <c r="B19" s="14">
        <v>46060</v>
      </c>
      <c r="C19" s="15" t="s">
        <v>37</v>
      </c>
      <c r="D19" s="15" t="s">
        <v>7</v>
      </c>
      <c r="E19" s="16">
        <v>1341973</v>
      </c>
      <c r="G19" s="12"/>
      <c r="H19" s="5"/>
      <c r="I19" s="5"/>
      <c r="J19" s="5"/>
      <c r="K19" s="13"/>
      <c r="L19" s="12"/>
      <c r="M19" s="5"/>
      <c r="N19" s="5"/>
      <c r="O19" s="5"/>
      <c r="P19" s="13"/>
      <c r="Q19" s="12"/>
      <c r="R19" s="5"/>
      <c r="S19" s="5"/>
      <c r="T19" s="5"/>
      <c r="U19" s="13"/>
    </row>
    <row r="20" spans="2:21" ht="15.75" customHeight="1" x14ac:dyDescent="0.15">
      <c r="B20" s="9">
        <v>46061</v>
      </c>
      <c r="C20" s="10" t="s">
        <v>38</v>
      </c>
      <c r="D20" s="10" t="s">
        <v>7</v>
      </c>
      <c r="E20" s="11">
        <v>15995</v>
      </c>
      <c r="G20" s="12"/>
      <c r="H20" s="5"/>
      <c r="I20" s="5"/>
      <c r="J20" s="5"/>
      <c r="K20" s="13"/>
      <c r="L20" s="12"/>
      <c r="M20" s="5"/>
      <c r="N20" s="5"/>
      <c r="O20" s="5"/>
      <c r="P20" s="13"/>
      <c r="Q20" s="12"/>
      <c r="R20" s="5"/>
      <c r="S20" s="5"/>
      <c r="T20" s="5"/>
      <c r="U20" s="13"/>
    </row>
    <row r="21" spans="2:21" ht="15.75" customHeight="1" x14ac:dyDescent="0.15">
      <c r="B21" s="14">
        <v>46061</v>
      </c>
      <c r="C21" s="15" t="s">
        <v>39</v>
      </c>
      <c r="D21" s="15" t="s">
        <v>7</v>
      </c>
      <c r="E21" s="16">
        <v>65501</v>
      </c>
      <c r="G21" s="12"/>
      <c r="H21" s="5"/>
      <c r="I21" s="5"/>
      <c r="J21" s="5"/>
      <c r="K21" s="13"/>
      <c r="L21" s="12"/>
      <c r="M21" s="5"/>
      <c r="N21" s="5"/>
      <c r="O21" s="5"/>
      <c r="P21" s="13"/>
      <c r="Q21" s="12"/>
      <c r="R21" s="5"/>
      <c r="S21" s="5"/>
      <c r="T21" s="5"/>
      <c r="U21" s="13"/>
    </row>
    <row r="22" spans="2:21" ht="15.75" customHeight="1" x14ac:dyDescent="0.15">
      <c r="B22" s="9">
        <v>46061</v>
      </c>
      <c r="C22" s="10" t="s">
        <v>40</v>
      </c>
      <c r="D22" s="10" t="s">
        <v>7</v>
      </c>
      <c r="E22" s="11">
        <v>127240</v>
      </c>
      <c r="G22" s="12"/>
      <c r="H22" s="5"/>
      <c r="I22" s="5"/>
      <c r="J22" s="5"/>
      <c r="K22" s="13"/>
      <c r="L22" s="12"/>
      <c r="M22" s="5"/>
      <c r="N22" s="5"/>
      <c r="O22" s="5"/>
      <c r="P22" s="13"/>
      <c r="Q22" s="12"/>
      <c r="R22" s="5"/>
      <c r="S22" s="5"/>
      <c r="T22" s="5"/>
      <c r="U22" s="13"/>
    </row>
    <row r="23" spans="2:21" ht="15.75" customHeight="1" x14ac:dyDescent="0.15">
      <c r="B23" s="14">
        <v>46061</v>
      </c>
      <c r="C23" s="15" t="s">
        <v>41</v>
      </c>
      <c r="D23" s="15" t="s">
        <v>7</v>
      </c>
      <c r="E23" s="16">
        <v>10825</v>
      </c>
      <c r="G23" s="12"/>
      <c r="H23" s="5"/>
      <c r="I23" s="5"/>
      <c r="J23" s="5"/>
      <c r="K23" s="13"/>
      <c r="L23" s="12"/>
      <c r="M23" s="5"/>
      <c r="N23" s="5"/>
      <c r="O23" s="5"/>
      <c r="P23" s="13"/>
      <c r="Q23" s="12"/>
      <c r="R23" s="5"/>
      <c r="S23" s="5"/>
      <c r="T23" s="5"/>
      <c r="U23" s="13"/>
    </row>
    <row r="24" spans="2:21" ht="15.75" customHeight="1" x14ac:dyDescent="0.15">
      <c r="B24" s="9">
        <v>46063</v>
      </c>
      <c r="C24" s="10" t="s">
        <v>36</v>
      </c>
      <c r="D24" s="10" t="s">
        <v>7</v>
      </c>
      <c r="E24" s="11">
        <v>28000</v>
      </c>
      <c r="G24" s="12"/>
      <c r="H24" s="5"/>
      <c r="I24" s="5"/>
      <c r="J24" s="5"/>
      <c r="K24" s="13"/>
      <c r="L24" s="12"/>
      <c r="M24" s="5"/>
      <c r="N24" s="5"/>
      <c r="O24" s="5"/>
      <c r="P24" s="13"/>
      <c r="Q24" s="12"/>
      <c r="R24" s="5"/>
      <c r="S24" s="5"/>
      <c r="T24" s="5"/>
      <c r="U24" s="13"/>
    </row>
    <row r="25" spans="2:21" ht="15.75" customHeight="1" x14ac:dyDescent="0.15">
      <c r="B25" s="14">
        <v>46064</v>
      </c>
      <c r="C25" s="15" t="s">
        <v>42</v>
      </c>
      <c r="D25" s="15" t="s">
        <v>7</v>
      </c>
      <c r="E25" s="16">
        <v>90000</v>
      </c>
      <c r="G25" s="12"/>
      <c r="H25" s="5"/>
      <c r="I25" s="5"/>
      <c r="J25" s="5"/>
      <c r="K25" s="13"/>
      <c r="L25" s="12"/>
      <c r="M25" s="5"/>
      <c r="N25" s="5"/>
      <c r="O25" s="5"/>
      <c r="P25" s="13"/>
      <c r="Q25" s="12"/>
      <c r="R25" s="5"/>
      <c r="S25" s="5"/>
      <c r="T25" s="5"/>
      <c r="U25" s="13"/>
    </row>
    <row r="26" spans="2:21" ht="15.75" customHeight="1" x14ac:dyDescent="0.15">
      <c r="B26" s="14">
        <v>46065</v>
      </c>
      <c r="C26" s="15" t="s">
        <v>38</v>
      </c>
      <c r="D26" s="15" t="s">
        <v>7</v>
      </c>
      <c r="E26" s="16">
        <v>9901</v>
      </c>
      <c r="G26" s="12"/>
      <c r="H26" s="5"/>
      <c r="I26" s="5"/>
      <c r="J26" s="5"/>
      <c r="K26" s="13"/>
      <c r="L26" s="12"/>
      <c r="M26" s="5"/>
      <c r="N26" s="5"/>
      <c r="O26" s="5"/>
      <c r="P26" s="13"/>
      <c r="Q26" s="12"/>
      <c r="R26" s="5"/>
      <c r="S26" s="5"/>
      <c r="T26" s="5"/>
      <c r="U26" s="13"/>
    </row>
    <row r="27" spans="2:21" ht="15.75" customHeight="1" x14ac:dyDescent="0.15">
      <c r="B27" s="9">
        <v>46065</v>
      </c>
      <c r="C27" s="10" t="s">
        <v>43</v>
      </c>
      <c r="D27" s="10" t="s">
        <v>7</v>
      </c>
      <c r="E27" s="11">
        <v>51583</v>
      </c>
      <c r="G27" s="12"/>
      <c r="H27" s="5"/>
      <c r="I27" s="5"/>
      <c r="J27" s="5"/>
      <c r="K27" s="13"/>
      <c r="L27" s="12"/>
      <c r="M27" s="5"/>
      <c r="N27" s="5"/>
      <c r="O27" s="5"/>
      <c r="P27" s="13"/>
      <c r="Q27" s="12"/>
      <c r="R27" s="5"/>
      <c r="S27" s="5"/>
      <c r="T27" s="5"/>
      <c r="U27" s="13"/>
    </row>
    <row r="28" spans="2:21" ht="15.75" customHeight="1" x14ac:dyDescent="0.15">
      <c r="B28" s="14">
        <v>46069</v>
      </c>
      <c r="C28" s="15" t="s">
        <v>44</v>
      </c>
      <c r="D28" s="15" t="s">
        <v>7</v>
      </c>
      <c r="E28" s="16">
        <v>91900</v>
      </c>
      <c r="G28" s="12"/>
      <c r="H28" s="5"/>
      <c r="I28" s="5"/>
      <c r="J28" s="5"/>
      <c r="K28" s="13"/>
      <c r="L28" s="12"/>
      <c r="M28" s="5"/>
      <c r="N28" s="5"/>
      <c r="O28" s="5"/>
      <c r="P28" s="13"/>
      <c r="Q28" s="12"/>
      <c r="R28" s="5"/>
      <c r="S28" s="5"/>
      <c r="T28" s="5"/>
      <c r="U28" s="13"/>
    </row>
    <row r="29" spans="2:21" ht="15.75" customHeight="1" x14ac:dyDescent="0.15">
      <c r="B29" s="9">
        <v>46070</v>
      </c>
      <c r="C29" s="10" t="s">
        <v>45</v>
      </c>
      <c r="D29" s="10" t="s">
        <v>7</v>
      </c>
      <c r="E29" s="11">
        <v>34627</v>
      </c>
      <c r="G29" s="12"/>
      <c r="H29" s="5"/>
      <c r="I29" s="5"/>
      <c r="J29" s="5"/>
      <c r="K29" s="13"/>
      <c r="L29" s="12"/>
      <c r="M29" s="5"/>
      <c r="N29" s="5"/>
      <c r="O29" s="5"/>
      <c r="P29" s="13"/>
      <c r="Q29" s="12"/>
      <c r="R29" s="5"/>
      <c r="S29" s="5"/>
      <c r="T29" s="5"/>
      <c r="U29" s="13"/>
    </row>
    <row r="30" spans="2:21" ht="15.75" customHeight="1" x14ac:dyDescent="0.15">
      <c r="B30" s="14">
        <v>46070</v>
      </c>
      <c r="C30" s="15" t="s">
        <v>39</v>
      </c>
      <c r="D30" s="15" t="s">
        <v>7</v>
      </c>
      <c r="E30" s="16">
        <v>109305</v>
      </c>
      <c r="G30" s="12"/>
      <c r="H30" s="5"/>
      <c r="I30" s="5"/>
      <c r="J30" s="5"/>
      <c r="K30" s="13"/>
      <c r="L30" s="12"/>
      <c r="M30" s="5"/>
      <c r="N30" s="5"/>
      <c r="O30" s="5"/>
      <c r="P30" s="13"/>
      <c r="Q30" s="12"/>
      <c r="R30" s="5"/>
      <c r="S30" s="5"/>
      <c r="T30" s="5"/>
      <c r="U30" s="13"/>
    </row>
    <row r="31" spans="2:21" ht="15.75" customHeight="1" x14ac:dyDescent="0.15">
      <c r="B31" s="9">
        <v>46071</v>
      </c>
      <c r="C31" s="10" t="s">
        <v>46</v>
      </c>
      <c r="D31" s="10" t="s">
        <v>7</v>
      </c>
      <c r="E31" s="11">
        <v>43799</v>
      </c>
      <c r="G31" s="12"/>
      <c r="H31" s="5"/>
      <c r="I31" s="5"/>
      <c r="J31" s="5"/>
      <c r="K31" s="13"/>
      <c r="L31" s="12"/>
      <c r="M31" s="5"/>
      <c r="N31" s="5"/>
      <c r="O31" s="5"/>
      <c r="P31" s="13"/>
      <c r="Q31" s="12"/>
      <c r="R31" s="5"/>
      <c r="S31" s="5"/>
      <c r="T31" s="5"/>
      <c r="U31" s="13"/>
    </row>
    <row r="32" spans="2:21" ht="15.75" customHeight="1" x14ac:dyDescent="0.15">
      <c r="B32" s="9">
        <v>46073</v>
      </c>
      <c r="C32" s="10" t="s">
        <v>46</v>
      </c>
      <c r="D32" s="10" t="s">
        <v>7</v>
      </c>
      <c r="E32" s="11">
        <v>4100</v>
      </c>
      <c r="G32" s="12"/>
      <c r="H32" s="5"/>
      <c r="I32" s="5"/>
      <c r="J32" s="5"/>
      <c r="K32" s="13"/>
      <c r="L32" s="12"/>
      <c r="M32" s="5"/>
      <c r="N32" s="5"/>
      <c r="O32" s="5"/>
      <c r="P32" s="13"/>
      <c r="Q32" s="12"/>
      <c r="R32" s="5"/>
      <c r="S32" s="5"/>
      <c r="T32" s="5"/>
      <c r="U32" s="13"/>
    </row>
    <row r="33" spans="2:21" ht="15.75" customHeight="1" x14ac:dyDescent="0.15">
      <c r="B33" s="14">
        <v>46076</v>
      </c>
      <c r="C33" s="15" t="s">
        <v>39</v>
      </c>
      <c r="D33" s="15" t="s">
        <v>7</v>
      </c>
      <c r="E33" s="16">
        <v>124755</v>
      </c>
      <c r="G33" s="12"/>
      <c r="H33" s="5"/>
      <c r="I33" s="5"/>
      <c r="J33" s="5"/>
      <c r="K33" s="13"/>
      <c r="L33" s="12"/>
      <c r="M33" s="5"/>
      <c r="N33" s="5"/>
      <c r="O33" s="5"/>
      <c r="P33" s="13"/>
      <c r="Q33" s="12"/>
      <c r="R33" s="5"/>
      <c r="S33" s="5"/>
      <c r="T33" s="5"/>
      <c r="U33" s="13"/>
    </row>
    <row r="34" spans="2:21" ht="15.75" customHeight="1" x14ac:dyDescent="0.15">
      <c r="B34" s="9">
        <v>46076</v>
      </c>
      <c r="C34" s="10" t="s">
        <v>39</v>
      </c>
      <c r="D34" s="10" t="s">
        <v>7</v>
      </c>
      <c r="E34" s="11">
        <v>41670</v>
      </c>
      <c r="G34" s="12"/>
      <c r="H34" s="5"/>
      <c r="I34" s="5"/>
      <c r="J34" s="5"/>
      <c r="K34" s="13"/>
      <c r="L34" s="12"/>
      <c r="M34" s="5"/>
      <c r="N34" s="5"/>
      <c r="O34" s="5"/>
      <c r="P34" s="13"/>
      <c r="Q34" s="12"/>
      <c r="R34" s="5"/>
      <c r="S34" s="5"/>
      <c r="T34" s="5"/>
      <c r="U34" s="13"/>
    </row>
    <row r="35" spans="2:21" ht="15.75" customHeight="1" x14ac:dyDescent="0.15">
      <c r="B35" s="14">
        <v>46076</v>
      </c>
      <c r="C35" s="15" t="s">
        <v>47</v>
      </c>
      <c r="D35" s="15" t="s">
        <v>7</v>
      </c>
      <c r="E35" s="16">
        <v>26100</v>
      </c>
      <c r="G35" s="12"/>
      <c r="H35" s="5"/>
      <c r="I35" s="5"/>
      <c r="J35" s="5"/>
      <c r="K35" s="13"/>
      <c r="L35" s="12"/>
      <c r="M35" s="5"/>
      <c r="N35" s="5"/>
      <c r="O35" s="5"/>
      <c r="P35" s="13"/>
      <c r="Q35" s="12"/>
      <c r="R35" s="5"/>
      <c r="S35" s="5"/>
      <c r="T35" s="5"/>
      <c r="U35" s="13"/>
    </row>
    <row r="36" spans="2:21" ht="15.75" customHeight="1" x14ac:dyDescent="0.15">
      <c r="B36" s="9">
        <v>46079</v>
      </c>
      <c r="C36" s="10" t="s">
        <v>38</v>
      </c>
      <c r="D36" s="10" t="s">
        <v>7</v>
      </c>
      <c r="E36" s="11">
        <v>8200</v>
      </c>
      <c r="G36" s="12"/>
      <c r="H36" s="5"/>
      <c r="I36" s="5"/>
      <c r="J36" s="5"/>
      <c r="K36" s="13"/>
      <c r="L36" s="12"/>
      <c r="M36" s="5"/>
      <c r="N36" s="5"/>
      <c r="O36" s="5"/>
      <c r="P36" s="13"/>
      <c r="Q36" s="12"/>
      <c r="R36" s="5"/>
      <c r="S36" s="5"/>
      <c r="T36" s="5"/>
      <c r="U36" s="13"/>
    </row>
    <row r="37" spans="2:21" ht="15.75" customHeight="1" x14ac:dyDescent="0.15">
      <c r="B37" s="36" t="s">
        <v>28</v>
      </c>
      <c r="C37" s="37"/>
      <c r="D37" s="37"/>
      <c r="E37" s="19">
        <f>SUM(E5:E36)</f>
        <v>3090282</v>
      </c>
      <c r="G37" s="20"/>
      <c r="H37" s="6"/>
      <c r="I37" s="6"/>
      <c r="J37" s="20"/>
      <c r="K37" s="21"/>
      <c r="L37" s="22"/>
      <c r="M37" s="5"/>
      <c r="N37" s="5"/>
      <c r="O37" s="23"/>
      <c r="P37" s="21"/>
      <c r="Q37" s="22"/>
      <c r="R37" s="5"/>
      <c r="S37" s="5"/>
      <c r="T37" s="23"/>
      <c r="U37" s="21"/>
    </row>
    <row r="38" spans="2:21" ht="15.75" customHeight="1" x14ac:dyDescent="0.15">
      <c r="B38" s="38"/>
      <c r="C38" s="39"/>
      <c r="D38" s="39"/>
      <c r="E38" s="39"/>
      <c r="G38" s="40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24"/>
    </row>
    <row r="41" spans="2:21" ht="15.75" customHeight="1" x14ac:dyDescent="0.15">
      <c r="T41" s="26" t="s">
        <v>48</v>
      </c>
      <c r="U41" s="27">
        <f>SUM(U38)</f>
        <v>0</v>
      </c>
    </row>
    <row r="42" spans="2:21" ht="15.75" customHeight="1" x14ac:dyDescent="0.15">
      <c r="T42" s="28" t="s">
        <v>0</v>
      </c>
      <c r="U42" s="29">
        <f>E37</f>
        <v>3090282</v>
      </c>
    </row>
    <row r="43" spans="2:21" ht="15.75" customHeight="1" x14ac:dyDescent="0.15">
      <c r="T43" s="30" t="s">
        <v>49</v>
      </c>
      <c r="U43" s="31">
        <f>SUM(U41-U42)</f>
        <v>-3090282</v>
      </c>
    </row>
  </sheetData>
  <autoFilter ref="B4:E37" xr:uid="{00000000-0009-0000-0000-000001000000}">
    <sortState xmlns:xlrd2="http://schemas.microsoft.com/office/spreadsheetml/2017/richdata2" ref="B4:E37">
      <sortCondition ref="B4:B37"/>
    </sortState>
  </autoFilter>
  <mergeCells count="12">
    <mergeCell ref="B2:E2"/>
    <mergeCell ref="G2:U2"/>
    <mergeCell ref="B3:E3"/>
    <mergeCell ref="G3:K3"/>
    <mergeCell ref="L3:P3"/>
    <mergeCell ref="Q3:U3"/>
    <mergeCell ref="P6:P7"/>
    <mergeCell ref="P10:P11"/>
    <mergeCell ref="B37:D37"/>
    <mergeCell ref="B38:E38"/>
    <mergeCell ref="G38:T38"/>
    <mergeCell ref="K6:K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U46"/>
  <sheetViews>
    <sheetView tabSelected="1" workbookViewId="0"/>
  </sheetViews>
  <sheetFormatPr baseColWidth="10" defaultColWidth="12.6640625" defaultRowHeight="15.75" customHeight="1" x14ac:dyDescent="0.15"/>
  <cols>
    <col min="1" max="1" width="3.1640625" customWidth="1"/>
    <col min="2" max="2" width="15.6640625" customWidth="1"/>
    <col min="3" max="3" width="29.33203125" customWidth="1"/>
    <col min="4" max="4" width="25.6640625" customWidth="1"/>
    <col min="5" max="5" width="17" customWidth="1"/>
    <col min="6" max="6" width="3.6640625" customWidth="1"/>
    <col min="7" max="7" width="15" customWidth="1"/>
    <col min="8" max="8" width="16.83203125" customWidth="1"/>
    <col min="9" max="9" width="20" customWidth="1"/>
    <col min="10" max="10" width="17.6640625" customWidth="1"/>
    <col min="13" max="13" width="18.1640625" customWidth="1"/>
    <col min="14" max="14" width="21.1640625" customWidth="1"/>
    <col min="15" max="15" width="17.83203125" customWidth="1"/>
    <col min="18" max="18" width="14.5" customWidth="1"/>
    <col min="19" max="19" width="17.6640625" customWidth="1"/>
    <col min="20" max="20" width="18.1640625" customWidth="1"/>
  </cols>
  <sheetData>
    <row r="2" spans="2:21" ht="15.75" customHeight="1" x14ac:dyDescent="0.15">
      <c r="B2" s="41" t="s">
        <v>0</v>
      </c>
      <c r="C2" s="37"/>
      <c r="D2" s="37"/>
      <c r="E2" s="42"/>
      <c r="G2" s="43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2:21" ht="15.75" customHeight="1" x14ac:dyDescent="0.15">
      <c r="B3" s="44" t="s">
        <v>1</v>
      </c>
      <c r="C3" s="45"/>
      <c r="D3" s="45"/>
      <c r="E3" s="46"/>
      <c r="G3" s="47"/>
      <c r="H3" s="39"/>
      <c r="I3" s="39"/>
      <c r="J3" s="39"/>
      <c r="K3" s="39"/>
      <c r="L3" s="43"/>
      <c r="M3" s="39"/>
      <c r="N3" s="39"/>
      <c r="O3" s="39"/>
      <c r="P3" s="39"/>
      <c r="Q3" s="43"/>
      <c r="R3" s="39"/>
      <c r="S3" s="39"/>
      <c r="T3" s="39"/>
      <c r="U3" s="39"/>
    </row>
    <row r="4" spans="2:21" ht="15.75" customHeight="1" x14ac:dyDescent="0.15">
      <c r="B4" s="2" t="s">
        <v>2</v>
      </c>
      <c r="C4" s="3" t="s">
        <v>3</v>
      </c>
      <c r="D4" s="3" t="s">
        <v>50</v>
      </c>
      <c r="E4" s="4" t="s">
        <v>5</v>
      </c>
      <c r="F4" s="5"/>
      <c r="G4" s="6"/>
      <c r="H4" s="5"/>
      <c r="I4" s="6"/>
      <c r="J4" s="5"/>
      <c r="K4" s="7"/>
      <c r="L4" s="8"/>
      <c r="M4" s="8"/>
      <c r="N4" s="8"/>
      <c r="O4" s="8"/>
      <c r="P4" s="1"/>
      <c r="Q4" s="8"/>
      <c r="R4" s="8"/>
      <c r="S4" s="8"/>
      <c r="T4" s="8"/>
      <c r="U4" s="1"/>
    </row>
    <row r="5" spans="2:21" ht="15.75" customHeight="1" x14ac:dyDescent="0.15">
      <c r="B5" s="9">
        <v>46084</v>
      </c>
      <c r="C5" s="10" t="s">
        <v>8</v>
      </c>
      <c r="D5" s="10" t="s">
        <v>51</v>
      </c>
      <c r="E5" s="11">
        <v>17580</v>
      </c>
      <c r="F5" s="5"/>
      <c r="G5" s="12"/>
      <c r="H5" s="5"/>
      <c r="I5" s="5"/>
      <c r="J5" s="5"/>
      <c r="K5" s="5"/>
      <c r="L5" s="12"/>
      <c r="M5" s="5"/>
      <c r="N5" s="5"/>
      <c r="O5" s="5"/>
      <c r="P5" s="13"/>
      <c r="Q5" s="12"/>
      <c r="R5" s="5"/>
      <c r="S5" s="5"/>
      <c r="T5" s="5"/>
      <c r="U5" s="13"/>
    </row>
    <row r="6" spans="2:21" ht="15.75" customHeight="1" x14ac:dyDescent="0.15">
      <c r="B6" s="14">
        <v>46084</v>
      </c>
      <c r="C6" s="15" t="s">
        <v>52</v>
      </c>
      <c r="D6" s="15" t="s">
        <v>53</v>
      </c>
      <c r="E6" s="16">
        <v>87100</v>
      </c>
      <c r="F6" s="5"/>
      <c r="G6" s="12"/>
      <c r="H6" s="5"/>
      <c r="I6" s="5"/>
      <c r="J6" s="5"/>
      <c r="K6" s="5"/>
      <c r="L6" s="12"/>
      <c r="M6" s="5"/>
      <c r="N6" s="5"/>
      <c r="O6" s="5"/>
      <c r="P6" s="13"/>
      <c r="Q6" s="12"/>
      <c r="R6" s="5"/>
      <c r="S6" s="5"/>
      <c r="T6" s="5"/>
      <c r="U6" s="13"/>
    </row>
    <row r="7" spans="2:21" ht="15.75" customHeight="1" x14ac:dyDescent="0.15">
      <c r="B7" s="9">
        <v>46085</v>
      </c>
      <c r="C7" s="10" t="s">
        <v>52</v>
      </c>
      <c r="D7" s="10" t="s">
        <v>53</v>
      </c>
      <c r="E7" s="11">
        <v>4000</v>
      </c>
      <c r="F7" s="5"/>
      <c r="G7" s="12"/>
      <c r="H7" s="5"/>
      <c r="I7" s="5"/>
      <c r="J7" s="5"/>
      <c r="K7" s="5"/>
      <c r="L7" s="12"/>
      <c r="M7" s="5"/>
      <c r="N7" s="5"/>
      <c r="O7" s="5"/>
      <c r="P7" s="5"/>
      <c r="Q7" s="12"/>
      <c r="R7" s="5"/>
      <c r="S7" s="5"/>
      <c r="T7" s="5"/>
      <c r="U7" s="13"/>
    </row>
    <row r="8" spans="2:21" ht="15.75" customHeight="1" x14ac:dyDescent="0.15">
      <c r="B8" s="14">
        <v>46085</v>
      </c>
      <c r="C8" s="15" t="s">
        <v>54</v>
      </c>
      <c r="D8" s="15" t="s">
        <v>53</v>
      </c>
      <c r="E8" s="16">
        <v>15750</v>
      </c>
      <c r="G8" s="12"/>
      <c r="H8" s="5"/>
      <c r="I8" s="5"/>
      <c r="J8" s="5"/>
      <c r="K8" s="13"/>
      <c r="L8" s="12"/>
      <c r="M8" s="5"/>
      <c r="N8" s="5"/>
      <c r="O8" s="5"/>
      <c r="P8" s="13"/>
      <c r="Q8" s="12"/>
      <c r="R8" s="5"/>
      <c r="S8" s="5"/>
      <c r="T8" s="5"/>
      <c r="U8" s="13"/>
    </row>
    <row r="9" spans="2:21" ht="15.75" customHeight="1" x14ac:dyDescent="0.15">
      <c r="B9" s="9">
        <v>46086</v>
      </c>
      <c r="C9" s="10" t="s">
        <v>17</v>
      </c>
      <c r="D9" s="10" t="s">
        <v>53</v>
      </c>
      <c r="E9" s="11">
        <v>13460</v>
      </c>
      <c r="G9" s="12"/>
      <c r="H9" s="5"/>
      <c r="I9" s="5"/>
      <c r="J9" s="5"/>
      <c r="K9" s="13"/>
      <c r="L9" s="12"/>
      <c r="M9" s="5"/>
      <c r="N9" s="5"/>
      <c r="O9" s="5"/>
      <c r="P9" s="13"/>
      <c r="Q9" s="12"/>
      <c r="R9" s="5"/>
      <c r="S9" s="5"/>
      <c r="T9" s="5"/>
      <c r="U9" s="13"/>
    </row>
    <row r="10" spans="2:21" ht="15.75" customHeight="1" x14ac:dyDescent="0.15">
      <c r="B10" s="14">
        <v>46087</v>
      </c>
      <c r="C10" s="15" t="s">
        <v>55</v>
      </c>
      <c r="D10" s="15" t="s">
        <v>51</v>
      </c>
      <c r="E10" s="16">
        <v>2048</v>
      </c>
      <c r="G10" s="12"/>
      <c r="H10" s="5"/>
      <c r="I10" s="5"/>
      <c r="J10" s="5"/>
      <c r="K10" s="13"/>
      <c r="L10" s="12"/>
      <c r="M10" s="5"/>
      <c r="N10" s="5"/>
      <c r="O10" s="5"/>
      <c r="P10" s="13"/>
      <c r="Q10" s="12"/>
      <c r="R10" s="5"/>
      <c r="S10" s="5"/>
      <c r="T10" s="5"/>
      <c r="U10" s="13"/>
    </row>
    <row r="11" spans="2:21" ht="15.75" customHeight="1" x14ac:dyDescent="0.15">
      <c r="B11" s="9">
        <v>46087</v>
      </c>
      <c r="C11" s="10" t="s">
        <v>56</v>
      </c>
      <c r="D11" s="10" t="s">
        <v>53</v>
      </c>
      <c r="E11" s="11">
        <v>13000</v>
      </c>
      <c r="G11" s="12"/>
      <c r="H11" s="5"/>
      <c r="I11" s="5"/>
      <c r="J11" s="5"/>
      <c r="K11" s="13"/>
      <c r="L11" s="12"/>
      <c r="M11" s="5"/>
      <c r="N11" s="5"/>
      <c r="O11" s="5"/>
      <c r="P11" s="13"/>
      <c r="Q11" s="12"/>
      <c r="R11" s="5"/>
      <c r="S11" s="5"/>
      <c r="T11" s="5"/>
      <c r="U11" s="13"/>
    </row>
    <row r="12" spans="2:21" ht="15.75" customHeight="1" x14ac:dyDescent="0.15">
      <c r="B12" s="14">
        <v>46087</v>
      </c>
      <c r="C12" s="15" t="s">
        <v>57</v>
      </c>
      <c r="D12" s="15" t="s">
        <v>51</v>
      </c>
      <c r="E12" s="16">
        <v>12231</v>
      </c>
      <c r="G12" s="12"/>
      <c r="H12" s="5"/>
      <c r="I12" s="5"/>
      <c r="J12" s="5"/>
      <c r="K12" s="13"/>
      <c r="L12" s="12"/>
      <c r="M12" s="5"/>
      <c r="N12" s="5"/>
      <c r="O12" s="5"/>
      <c r="P12" s="13"/>
      <c r="Q12" s="12"/>
      <c r="R12" s="5"/>
      <c r="S12" s="5"/>
      <c r="T12" s="5"/>
      <c r="U12" s="13"/>
    </row>
    <row r="13" spans="2:21" ht="15.75" customHeight="1" x14ac:dyDescent="0.15">
      <c r="B13" s="9">
        <v>46087</v>
      </c>
      <c r="C13" s="10" t="s">
        <v>58</v>
      </c>
      <c r="D13" s="10" t="s">
        <v>51</v>
      </c>
      <c r="E13" s="11">
        <v>85722</v>
      </c>
      <c r="G13" s="12"/>
      <c r="H13" s="5"/>
      <c r="I13" s="5"/>
      <c r="J13" s="5"/>
      <c r="K13" s="13"/>
      <c r="L13" s="12"/>
      <c r="M13" s="5"/>
      <c r="N13" s="5"/>
      <c r="O13" s="5"/>
      <c r="P13" s="13"/>
      <c r="Q13" s="12"/>
      <c r="R13" s="5"/>
      <c r="S13" s="5"/>
      <c r="T13" s="5"/>
      <c r="U13" s="13"/>
    </row>
    <row r="14" spans="2:21" ht="15.75" customHeight="1" x14ac:dyDescent="0.15">
      <c r="B14" s="14">
        <v>46087</v>
      </c>
      <c r="C14" s="15" t="s">
        <v>59</v>
      </c>
      <c r="D14" s="15" t="s">
        <v>51</v>
      </c>
      <c r="E14" s="16">
        <v>5830</v>
      </c>
      <c r="G14" s="12"/>
      <c r="H14" s="5"/>
      <c r="I14" s="5"/>
      <c r="J14" s="5"/>
      <c r="K14" s="13"/>
      <c r="L14" s="12"/>
      <c r="M14" s="5"/>
      <c r="N14" s="5"/>
      <c r="O14" s="5"/>
      <c r="P14" s="13"/>
      <c r="Q14" s="12"/>
      <c r="R14" s="5"/>
      <c r="S14" s="5"/>
      <c r="T14" s="5"/>
      <c r="U14" s="13"/>
    </row>
    <row r="15" spans="2:21" ht="15.75" customHeight="1" x14ac:dyDescent="0.15">
      <c r="B15" s="9">
        <v>46088</v>
      </c>
      <c r="C15" s="10" t="s">
        <v>60</v>
      </c>
      <c r="D15" s="10" t="s">
        <v>53</v>
      </c>
      <c r="E15" s="11">
        <v>11000</v>
      </c>
      <c r="G15" s="12"/>
      <c r="H15" s="5"/>
      <c r="I15" s="5"/>
      <c r="J15" s="5"/>
      <c r="K15" s="13"/>
      <c r="L15" s="12"/>
      <c r="M15" s="5"/>
      <c r="N15" s="5"/>
      <c r="O15" s="5"/>
      <c r="P15" s="13"/>
      <c r="Q15" s="12"/>
      <c r="R15" s="5"/>
      <c r="S15" s="5"/>
      <c r="T15" s="5"/>
      <c r="U15" s="13"/>
    </row>
    <row r="16" spans="2:21" ht="15.75" customHeight="1" x14ac:dyDescent="0.15">
      <c r="B16" s="14">
        <v>46088</v>
      </c>
      <c r="C16" s="15" t="s">
        <v>61</v>
      </c>
      <c r="D16" s="15" t="s">
        <v>53</v>
      </c>
      <c r="E16" s="16">
        <v>22000</v>
      </c>
      <c r="G16" s="12"/>
      <c r="H16" s="5"/>
      <c r="I16" s="5"/>
      <c r="J16" s="5"/>
      <c r="K16" s="13"/>
      <c r="L16" s="12"/>
      <c r="M16" s="5"/>
      <c r="N16" s="5"/>
      <c r="O16" s="5"/>
      <c r="P16" s="13"/>
      <c r="Q16" s="12"/>
      <c r="R16" s="5"/>
      <c r="S16" s="5"/>
      <c r="T16" s="5"/>
      <c r="U16" s="13"/>
    </row>
    <row r="17" spans="2:21" ht="15.75" customHeight="1" x14ac:dyDescent="0.15">
      <c r="B17" s="9">
        <v>46089</v>
      </c>
      <c r="C17" s="10" t="s">
        <v>62</v>
      </c>
      <c r="D17" s="10" t="s">
        <v>53</v>
      </c>
      <c r="E17" s="11">
        <v>19825</v>
      </c>
      <c r="G17" s="12"/>
      <c r="H17" s="5"/>
      <c r="I17" s="5"/>
      <c r="J17" s="5"/>
      <c r="K17" s="13"/>
      <c r="L17" s="12"/>
      <c r="M17" s="5"/>
      <c r="N17" s="5"/>
      <c r="O17" s="5"/>
      <c r="P17" s="13"/>
      <c r="Q17" s="12"/>
      <c r="R17" s="5"/>
      <c r="S17" s="5"/>
      <c r="T17" s="5"/>
      <c r="U17" s="13"/>
    </row>
    <row r="18" spans="2:21" ht="15.75" customHeight="1" x14ac:dyDescent="0.15">
      <c r="B18" s="14">
        <v>46090</v>
      </c>
      <c r="C18" s="15" t="s">
        <v>17</v>
      </c>
      <c r="D18" s="15" t="s">
        <v>53</v>
      </c>
      <c r="E18" s="16">
        <v>30620</v>
      </c>
      <c r="G18" s="12"/>
      <c r="H18" s="5"/>
      <c r="I18" s="5"/>
      <c r="J18" s="5"/>
      <c r="K18" s="13"/>
      <c r="L18" s="12"/>
      <c r="M18" s="5"/>
      <c r="N18" s="5"/>
      <c r="O18" s="5"/>
      <c r="P18" s="13"/>
      <c r="Q18" s="12"/>
      <c r="R18" s="5"/>
      <c r="S18" s="5"/>
      <c r="T18" s="5"/>
      <c r="U18" s="13"/>
    </row>
    <row r="19" spans="2:21" ht="15.75" customHeight="1" x14ac:dyDescent="0.15">
      <c r="B19" s="9">
        <v>46091</v>
      </c>
      <c r="C19" s="10" t="s">
        <v>63</v>
      </c>
      <c r="D19" s="10" t="s">
        <v>51</v>
      </c>
      <c r="E19" s="11">
        <v>23000</v>
      </c>
      <c r="G19" s="12"/>
      <c r="H19" s="5"/>
      <c r="I19" s="5"/>
      <c r="J19" s="5"/>
      <c r="K19" s="13"/>
      <c r="L19" s="12"/>
      <c r="M19" s="5"/>
      <c r="N19" s="5"/>
      <c r="O19" s="5"/>
      <c r="P19" s="13"/>
      <c r="Q19" s="12"/>
      <c r="R19" s="5"/>
      <c r="S19" s="5"/>
      <c r="T19" s="5"/>
      <c r="U19" s="13"/>
    </row>
    <row r="20" spans="2:21" ht="15.75" customHeight="1" x14ac:dyDescent="0.15">
      <c r="B20" s="14">
        <v>46091</v>
      </c>
      <c r="C20" s="15" t="s">
        <v>39</v>
      </c>
      <c r="D20" s="15" t="s">
        <v>53</v>
      </c>
      <c r="E20" s="16">
        <v>63568</v>
      </c>
      <c r="G20" s="12"/>
      <c r="H20" s="5"/>
      <c r="I20" s="5"/>
      <c r="J20" s="5"/>
      <c r="K20" s="13"/>
      <c r="L20" s="12"/>
      <c r="M20" s="5"/>
      <c r="N20" s="5"/>
      <c r="O20" s="5"/>
      <c r="P20" s="13"/>
      <c r="Q20" s="12"/>
      <c r="R20" s="5"/>
      <c r="S20" s="5"/>
      <c r="T20" s="5"/>
      <c r="U20" s="13"/>
    </row>
    <row r="21" spans="2:21" ht="15.75" customHeight="1" x14ac:dyDescent="0.15">
      <c r="B21" s="9">
        <v>46093</v>
      </c>
      <c r="C21" s="10" t="s">
        <v>64</v>
      </c>
      <c r="D21" s="10" t="s">
        <v>53</v>
      </c>
      <c r="E21" s="11">
        <v>45000</v>
      </c>
      <c r="G21" s="12"/>
      <c r="H21" s="5"/>
      <c r="I21" s="5"/>
      <c r="J21" s="5"/>
      <c r="K21" s="13"/>
      <c r="L21" s="12"/>
      <c r="M21" s="5"/>
      <c r="N21" s="5"/>
      <c r="O21" s="5"/>
      <c r="P21" s="13"/>
      <c r="Q21" s="12"/>
      <c r="R21" s="5"/>
      <c r="S21" s="5"/>
      <c r="T21" s="5"/>
      <c r="U21" s="13"/>
    </row>
    <row r="22" spans="2:21" ht="15.75" customHeight="1" x14ac:dyDescent="0.15">
      <c r="B22" s="14">
        <v>46093</v>
      </c>
      <c r="C22" s="15" t="s">
        <v>65</v>
      </c>
      <c r="D22" s="15" t="s">
        <v>53</v>
      </c>
      <c r="E22" s="16">
        <v>12882</v>
      </c>
      <c r="G22" s="12"/>
      <c r="H22" s="5"/>
      <c r="I22" s="5"/>
      <c r="J22" s="5"/>
      <c r="K22" s="13"/>
      <c r="L22" s="12"/>
      <c r="M22" s="5"/>
      <c r="N22" s="5"/>
      <c r="O22" s="5"/>
      <c r="P22" s="13"/>
      <c r="Q22" s="12"/>
      <c r="R22" s="5"/>
      <c r="S22" s="5"/>
      <c r="T22" s="5"/>
      <c r="U22" s="13"/>
    </row>
    <row r="23" spans="2:21" ht="15.75" customHeight="1" x14ac:dyDescent="0.15">
      <c r="B23" s="9">
        <v>46094</v>
      </c>
      <c r="C23" s="10" t="s">
        <v>64</v>
      </c>
      <c r="D23" s="10" t="s">
        <v>53</v>
      </c>
      <c r="E23" s="11">
        <v>39000</v>
      </c>
      <c r="G23" s="12"/>
      <c r="H23" s="5"/>
      <c r="I23" s="5"/>
      <c r="J23" s="5"/>
      <c r="K23" s="13"/>
      <c r="L23" s="12"/>
      <c r="M23" s="5"/>
      <c r="N23" s="5"/>
      <c r="O23" s="5"/>
      <c r="P23" s="13"/>
      <c r="Q23" s="12"/>
      <c r="R23" s="5"/>
      <c r="S23" s="5"/>
      <c r="T23" s="5"/>
      <c r="U23" s="13"/>
    </row>
    <row r="24" spans="2:21" ht="15.75" customHeight="1" x14ac:dyDescent="0.15">
      <c r="B24" s="14">
        <v>46095</v>
      </c>
      <c r="C24" s="15" t="s">
        <v>62</v>
      </c>
      <c r="D24" s="15" t="s">
        <v>53</v>
      </c>
      <c r="E24" s="16">
        <v>54075</v>
      </c>
      <c r="G24" s="12"/>
      <c r="H24" s="5"/>
      <c r="I24" s="5"/>
      <c r="J24" s="5"/>
      <c r="K24" s="13"/>
      <c r="L24" s="12"/>
      <c r="M24" s="5"/>
      <c r="N24" s="5"/>
      <c r="O24" s="5"/>
      <c r="P24" s="13"/>
      <c r="Q24" s="12"/>
      <c r="R24" s="5"/>
      <c r="S24" s="5"/>
      <c r="T24" s="5"/>
      <c r="U24" s="13"/>
    </row>
    <row r="25" spans="2:21" ht="15.75" customHeight="1" x14ac:dyDescent="0.15">
      <c r="B25" s="9">
        <v>46098</v>
      </c>
      <c r="C25" s="10" t="s">
        <v>66</v>
      </c>
      <c r="D25" s="10" t="s">
        <v>53</v>
      </c>
      <c r="E25" s="11">
        <v>60000</v>
      </c>
      <c r="G25" s="12"/>
      <c r="H25" s="5"/>
      <c r="I25" s="5"/>
      <c r="J25" s="5"/>
      <c r="K25" s="13"/>
      <c r="L25" s="12"/>
      <c r="M25" s="5"/>
      <c r="N25" s="5"/>
      <c r="O25" s="5"/>
      <c r="P25" s="13"/>
      <c r="Q25" s="12"/>
      <c r="R25" s="5"/>
      <c r="S25" s="5"/>
      <c r="T25" s="5"/>
      <c r="U25" s="13"/>
    </row>
    <row r="26" spans="2:21" ht="15.75" customHeight="1" x14ac:dyDescent="0.15">
      <c r="B26" s="14">
        <v>46098</v>
      </c>
      <c r="C26" s="15" t="s">
        <v>67</v>
      </c>
      <c r="D26" s="15" t="s">
        <v>53</v>
      </c>
      <c r="E26" s="16">
        <v>50101</v>
      </c>
      <c r="G26" s="12"/>
      <c r="H26" s="5"/>
      <c r="I26" s="5"/>
      <c r="J26" s="5"/>
      <c r="K26" s="13"/>
      <c r="L26" s="12"/>
      <c r="M26" s="5"/>
      <c r="N26" s="5"/>
      <c r="O26" s="5"/>
      <c r="P26" s="13"/>
      <c r="Q26" s="12"/>
      <c r="R26" s="5"/>
      <c r="S26" s="5"/>
      <c r="T26" s="5"/>
      <c r="U26" s="13"/>
    </row>
    <row r="27" spans="2:21" ht="15.75" customHeight="1" x14ac:dyDescent="0.15">
      <c r="B27" s="9">
        <v>46099</v>
      </c>
      <c r="C27" s="10" t="s">
        <v>68</v>
      </c>
      <c r="D27" s="10" t="s">
        <v>53</v>
      </c>
      <c r="E27" s="11">
        <v>24300</v>
      </c>
      <c r="G27" s="12"/>
      <c r="H27" s="5"/>
      <c r="I27" s="5"/>
      <c r="J27" s="5"/>
      <c r="K27" s="13"/>
      <c r="L27" s="12"/>
      <c r="M27" s="5"/>
      <c r="N27" s="5"/>
      <c r="O27" s="5"/>
      <c r="P27" s="13"/>
      <c r="Q27" s="12"/>
      <c r="R27" s="5"/>
      <c r="S27" s="5"/>
      <c r="T27" s="5"/>
      <c r="U27" s="13"/>
    </row>
    <row r="28" spans="2:21" ht="15.75" customHeight="1" x14ac:dyDescent="0.15">
      <c r="B28" s="14">
        <v>46100</v>
      </c>
      <c r="C28" s="15" t="s">
        <v>69</v>
      </c>
      <c r="D28" s="15" t="s">
        <v>53</v>
      </c>
      <c r="E28" s="16">
        <v>30897</v>
      </c>
      <c r="G28" s="12"/>
      <c r="H28" s="5"/>
      <c r="I28" s="5"/>
      <c r="J28" s="5"/>
      <c r="K28" s="13"/>
      <c r="L28" s="12"/>
      <c r="M28" s="5"/>
      <c r="N28" s="5"/>
      <c r="O28" s="5"/>
      <c r="P28" s="13"/>
      <c r="Q28" s="12"/>
      <c r="R28" s="5"/>
      <c r="S28" s="5"/>
      <c r="T28" s="5"/>
      <c r="U28" s="13"/>
    </row>
    <row r="29" spans="2:21" ht="15.75" customHeight="1" x14ac:dyDescent="0.15">
      <c r="B29" s="9">
        <v>46100</v>
      </c>
      <c r="C29" s="10" t="s">
        <v>70</v>
      </c>
      <c r="D29" s="10" t="s">
        <v>53</v>
      </c>
      <c r="E29" s="11">
        <v>8535</v>
      </c>
      <c r="G29" s="12"/>
      <c r="H29" s="5"/>
      <c r="I29" s="5"/>
      <c r="J29" s="5"/>
      <c r="K29" s="13"/>
      <c r="L29" s="12"/>
      <c r="M29" s="5"/>
      <c r="N29" s="5"/>
      <c r="O29" s="5"/>
      <c r="P29" s="13"/>
      <c r="Q29" s="12"/>
      <c r="R29" s="5"/>
      <c r="S29" s="5"/>
      <c r="T29" s="5"/>
      <c r="U29" s="13"/>
    </row>
    <row r="30" spans="2:21" ht="15.75" customHeight="1" x14ac:dyDescent="0.15">
      <c r="B30" s="14">
        <v>46100</v>
      </c>
      <c r="C30" s="15" t="s">
        <v>17</v>
      </c>
      <c r="D30" s="15" t="s">
        <v>53</v>
      </c>
      <c r="E30" s="16">
        <v>40573</v>
      </c>
      <c r="G30" s="12"/>
      <c r="H30" s="5"/>
      <c r="I30" s="5"/>
      <c r="J30" s="5"/>
      <c r="K30" s="13"/>
      <c r="L30" s="12"/>
      <c r="M30" s="5"/>
      <c r="N30" s="5"/>
      <c r="O30" s="5"/>
      <c r="P30" s="13"/>
      <c r="Q30" s="12"/>
      <c r="R30" s="5"/>
      <c r="S30" s="5"/>
      <c r="T30" s="5"/>
      <c r="U30" s="13"/>
    </row>
    <row r="31" spans="2:21" ht="15.75" customHeight="1" x14ac:dyDescent="0.15">
      <c r="B31" s="9">
        <v>46103</v>
      </c>
      <c r="C31" s="10" t="s">
        <v>71</v>
      </c>
      <c r="D31" s="10" t="s">
        <v>53</v>
      </c>
      <c r="E31" s="11">
        <v>95200</v>
      </c>
      <c r="G31" s="12"/>
      <c r="H31" s="5"/>
      <c r="I31" s="5"/>
      <c r="J31" s="5"/>
      <c r="K31" s="13"/>
      <c r="L31" s="12"/>
      <c r="M31" s="5"/>
      <c r="N31" s="5"/>
      <c r="O31" s="5"/>
      <c r="P31" s="13"/>
      <c r="Q31" s="12"/>
      <c r="R31" s="5"/>
      <c r="S31" s="5"/>
      <c r="T31" s="5"/>
      <c r="U31" s="13"/>
    </row>
    <row r="32" spans="2:21" ht="15.75" customHeight="1" x14ac:dyDescent="0.15">
      <c r="B32" s="14">
        <v>46105</v>
      </c>
      <c r="C32" s="15" t="s">
        <v>72</v>
      </c>
      <c r="D32" s="15" t="s">
        <v>73</v>
      </c>
      <c r="E32" s="16">
        <v>95000</v>
      </c>
      <c r="G32" s="12"/>
      <c r="H32" s="5"/>
      <c r="I32" s="5"/>
      <c r="J32" s="5"/>
      <c r="K32" s="13"/>
      <c r="L32" s="12"/>
      <c r="M32" s="5"/>
      <c r="N32" s="5"/>
      <c r="O32" s="5"/>
      <c r="P32" s="13"/>
      <c r="Q32" s="12"/>
      <c r="R32" s="5"/>
      <c r="S32" s="5"/>
      <c r="T32" s="5"/>
      <c r="U32" s="13"/>
    </row>
    <row r="33" spans="2:21" ht="15.75" customHeight="1" x14ac:dyDescent="0.15">
      <c r="B33" s="9">
        <v>46108</v>
      </c>
      <c r="C33" s="10" t="s">
        <v>70</v>
      </c>
      <c r="D33" s="10" t="s">
        <v>53</v>
      </c>
      <c r="E33" s="11">
        <v>20391</v>
      </c>
      <c r="G33" s="12"/>
      <c r="H33" s="5"/>
      <c r="I33" s="5"/>
      <c r="J33" s="5"/>
      <c r="K33" s="13"/>
      <c r="L33" s="12"/>
      <c r="M33" s="5"/>
      <c r="N33" s="5"/>
      <c r="O33" s="5"/>
      <c r="P33" s="13"/>
      <c r="Q33" s="12"/>
      <c r="R33" s="5"/>
      <c r="S33" s="5"/>
      <c r="T33" s="5"/>
      <c r="U33" s="13"/>
    </row>
    <row r="34" spans="2:21" ht="15.75" customHeight="1" x14ac:dyDescent="0.15">
      <c r="B34" s="14">
        <v>46108</v>
      </c>
      <c r="C34" s="15" t="s">
        <v>74</v>
      </c>
      <c r="D34" s="15" t="s">
        <v>53</v>
      </c>
      <c r="E34" s="16">
        <v>2055</v>
      </c>
      <c r="G34" s="12"/>
      <c r="H34" s="5"/>
      <c r="I34" s="5"/>
      <c r="J34" s="5"/>
      <c r="K34" s="13"/>
      <c r="L34" s="12"/>
      <c r="M34" s="5"/>
      <c r="N34" s="5"/>
      <c r="O34" s="5"/>
      <c r="P34" s="13"/>
      <c r="Q34" s="12"/>
      <c r="R34" s="5"/>
      <c r="S34" s="5"/>
      <c r="T34" s="5"/>
      <c r="U34" s="13"/>
    </row>
    <row r="35" spans="2:21" ht="15.75" customHeight="1" x14ac:dyDescent="0.15">
      <c r="B35" s="9">
        <v>46108</v>
      </c>
      <c r="C35" s="10" t="s">
        <v>75</v>
      </c>
      <c r="D35" s="10" t="s">
        <v>53</v>
      </c>
      <c r="E35" s="11">
        <v>1748</v>
      </c>
      <c r="G35" s="12"/>
      <c r="H35" s="5"/>
      <c r="I35" s="5"/>
      <c r="J35" s="5"/>
      <c r="K35" s="13"/>
      <c r="L35" s="12"/>
      <c r="M35" s="5"/>
      <c r="N35" s="5"/>
      <c r="O35" s="5"/>
      <c r="P35" s="13"/>
      <c r="Q35" s="12"/>
      <c r="R35" s="5"/>
      <c r="S35" s="5"/>
      <c r="T35" s="5"/>
      <c r="U35" s="13"/>
    </row>
    <row r="36" spans="2:21" ht="15.75" customHeight="1" x14ac:dyDescent="0.15">
      <c r="B36" s="14">
        <v>46112</v>
      </c>
      <c r="C36" s="15" t="s">
        <v>76</v>
      </c>
      <c r="D36" s="15" t="s">
        <v>53</v>
      </c>
      <c r="E36" s="16">
        <v>11975</v>
      </c>
      <c r="G36" s="12"/>
      <c r="H36" s="5"/>
      <c r="I36" s="5"/>
      <c r="J36" s="5"/>
      <c r="K36" s="13"/>
      <c r="L36" s="12"/>
      <c r="M36" s="5"/>
      <c r="N36" s="5"/>
      <c r="O36" s="5"/>
      <c r="P36" s="13"/>
      <c r="Q36" s="12"/>
      <c r="R36" s="5"/>
      <c r="S36" s="5"/>
      <c r="T36" s="5"/>
      <c r="U36" s="13"/>
    </row>
    <row r="37" spans="2:21" ht="15.75" customHeight="1" x14ac:dyDescent="0.15">
      <c r="B37" s="9">
        <v>46112</v>
      </c>
      <c r="C37" s="10" t="s">
        <v>77</v>
      </c>
      <c r="D37" s="10" t="s">
        <v>53</v>
      </c>
      <c r="E37" s="11">
        <v>43155</v>
      </c>
      <c r="G37" s="12"/>
      <c r="H37" s="5"/>
      <c r="I37" s="5"/>
      <c r="J37" s="5"/>
      <c r="K37" s="13"/>
      <c r="L37" s="12"/>
      <c r="M37" s="5"/>
      <c r="N37" s="5"/>
      <c r="O37" s="5"/>
      <c r="P37" s="13"/>
      <c r="Q37" s="12"/>
      <c r="R37" s="5"/>
      <c r="S37" s="5"/>
      <c r="T37" s="5"/>
      <c r="U37" s="13"/>
    </row>
    <row r="38" spans="2:21" ht="15.75" customHeight="1" x14ac:dyDescent="0.15">
      <c r="B38" s="49" t="s">
        <v>28</v>
      </c>
      <c r="C38" s="39"/>
      <c r="D38" s="32"/>
      <c r="E38" s="33">
        <f>SUM(E5:E37)</f>
        <v>1061621</v>
      </c>
      <c r="G38" s="12"/>
      <c r="H38" s="5"/>
      <c r="I38" s="5"/>
      <c r="J38" s="5"/>
      <c r="K38" s="13"/>
      <c r="L38" s="12"/>
      <c r="M38" s="5"/>
      <c r="N38" s="5"/>
      <c r="O38" s="5"/>
      <c r="P38" s="13"/>
      <c r="Q38" s="12"/>
      <c r="R38" s="5"/>
      <c r="S38" s="5"/>
      <c r="T38" s="5"/>
      <c r="U38" s="13"/>
    </row>
    <row r="39" spans="2:21" ht="15.75" customHeight="1" x14ac:dyDescent="0.15">
      <c r="B39" s="38"/>
      <c r="C39" s="39"/>
      <c r="D39" s="39"/>
      <c r="E39" s="39"/>
      <c r="G39" s="12"/>
      <c r="H39" s="5"/>
      <c r="I39" s="5"/>
      <c r="J39" s="5"/>
      <c r="K39" s="13"/>
      <c r="L39" s="12"/>
      <c r="M39" s="5"/>
      <c r="N39" s="5"/>
      <c r="O39" s="5"/>
      <c r="P39" s="13"/>
      <c r="Q39" s="12"/>
      <c r="R39" s="5"/>
      <c r="S39" s="5"/>
      <c r="T39" s="5"/>
      <c r="U39" s="13"/>
    </row>
    <row r="40" spans="2:21" ht="15.75" customHeight="1" x14ac:dyDescent="0.15">
      <c r="B40" s="34"/>
      <c r="C40" s="34"/>
      <c r="D40" s="34"/>
      <c r="E40" s="35"/>
      <c r="G40" s="20"/>
      <c r="H40" s="6"/>
      <c r="I40" s="6"/>
      <c r="J40" s="20"/>
      <c r="K40" s="21"/>
      <c r="L40" s="22"/>
      <c r="M40" s="5"/>
      <c r="N40" s="5"/>
      <c r="O40" s="23"/>
      <c r="P40" s="21"/>
      <c r="Q40" s="22"/>
      <c r="R40" s="5"/>
      <c r="S40" s="5"/>
      <c r="T40" s="23"/>
      <c r="U40" s="21"/>
    </row>
    <row r="41" spans="2:21" ht="15.75" customHeight="1" x14ac:dyDescent="0.15">
      <c r="G41" s="40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24"/>
    </row>
    <row r="44" spans="2:21" ht="15.75" customHeight="1" x14ac:dyDescent="0.15">
      <c r="T44" s="25"/>
      <c r="U44" s="13"/>
    </row>
    <row r="45" spans="2:21" ht="15.75" customHeight="1" x14ac:dyDescent="0.15">
      <c r="T45" s="25"/>
      <c r="U45" s="13"/>
    </row>
    <row r="46" spans="2:21" ht="15.75" customHeight="1" x14ac:dyDescent="0.15">
      <c r="T46" s="25"/>
      <c r="U46" s="24"/>
    </row>
  </sheetData>
  <autoFilter ref="B4:E40" xr:uid="{00000000-0009-0000-0000-000002000000}">
    <sortState xmlns:xlrd2="http://schemas.microsoft.com/office/spreadsheetml/2017/richdata2" ref="B4:E40">
      <sortCondition ref="B4:B40"/>
    </sortState>
  </autoFilter>
  <mergeCells count="9">
    <mergeCell ref="B39:E39"/>
    <mergeCell ref="G41:T41"/>
    <mergeCell ref="B2:E2"/>
    <mergeCell ref="G2:U2"/>
    <mergeCell ref="B3:E3"/>
    <mergeCell ref="G3:K3"/>
    <mergeCell ref="L3:P3"/>
    <mergeCell ref="Q3:U3"/>
    <mergeCell ref="B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ENERO</vt:lpstr>
      <vt:lpstr>FEBRERO</vt:lpstr>
      <vt:lpstr>MARZO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VASQUEZ JIMENEZ ALEJANDRO</cp:lastModifiedBy>
  <dcterms:modified xsi:type="dcterms:W3CDTF">2026-04-27T05:10:06Z</dcterms:modified>
</cp:coreProperties>
</file>